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Mis documentos\Tablas excel\Polla\"/>
    </mc:Choice>
  </mc:AlternateContent>
  <xr:revisionPtr revIDLastSave="0" documentId="13_ncr:1_{145880D9-9DD1-4C1C-86A4-9BB256E9A19E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Participantes y pagos" sheetId="1" r:id="rId1"/>
    <sheet name="Pronosticos Iniciales" sheetId="2" r:id="rId2"/>
    <sheet name="RESULTADOS" sheetId="3" r:id="rId3"/>
    <sheet name="POSICIONES ORDENADAS" sheetId="4" r:id="rId4"/>
    <sheet name="SANCIONE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K4" i="3" l="1"/>
  <c r="EK5" i="3"/>
  <c r="EK6" i="3"/>
  <c r="EK7" i="3"/>
  <c r="EK8" i="3"/>
  <c r="EK9" i="3"/>
  <c r="EK10" i="3"/>
  <c r="EK11" i="3"/>
  <c r="EK12" i="3"/>
  <c r="EK13" i="3"/>
  <c r="EK14" i="3"/>
  <c r="EK15" i="3"/>
  <c r="EK16" i="3"/>
  <c r="EK17" i="3"/>
  <c r="EK18" i="3"/>
  <c r="EK19" i="3"/>
  <c r="EK20" i="3"/>
  <c r="EK21" i="3"/>
  <c r="EK22" i="3"/>
  <c r="EK23" i="3"/>
  <c r="EK24" i="3"/>
  <c r="EK25" i="3"/>
  <c r="EK26" i="3"/>
  <c r="EK27" i="3"/>
  <c r="EK28" i="3"/>
  <c r="EK29" i="3"/>
  <c r="EK30" i="3"/>
  <c r="EK31" i="3"/>
  <c r="EK32" i="3"/>
  <c r="EK33" i="3"/>
  <c r="EK34" i="3"/>
  <c r="EK35" i="3"/>
  <c r="EO4" i="3"/>
  <c r="EO5" i="3"/>
  <c r="EO6" i="3"/>
  <c r="EO7" i="3"/>
  <c r="EO8" i="3"/>
  <c r="EO9" i="3"/>
  <c r="EO10" i="3"/>
  <c r="EO11" i="3"/>
  <c r="EO12" i="3"/>
  <c r="EO13" i="3"/>
  <c r="EO14" i="3"/>
  <c r="EO15" i="3"/>
  <c r="EO16" i="3"/>
  <c r="EO17" i="3"/>
  <c r="EO18" i="3"/>
  <c r="EO19" i="3"/>
  <c r="EO20" i="3"/>
  <c r="EO21" i="3"/>
  <c r="EO22" i="3"/>
  <c r="EO23" i="3"/>
  <c r="EO24" i="3"/>
  <c r="EO25" i="3"/>
  <c r="EO26" i="3"/>
  <c r="EO27" i="3"/>
  <c r="EO28" i="3"/>
  <c r="EO29" i="3"/>
  <c r="EO30" i="3"/>
  <c r="EO31" i="3"/>
  <c r="EO32" i="3"/>
  <c r="EO33" i="3"/>
  <c r="EO34" i="3"/>
  <c r="EO35" i="3"/>
  <c r="ES4" i="3"/>
  <c r="ES5" i="3"/>
  <c r="ES6" i="3"/>
  <c r="ES7" i="3"/>
  <c r="ES8" i="3"/>
  <c r="ES9" i="3"/>
  <c r="ES10" i="3"/>
  <c r="ES11" i="3"/>
  <c r="ES12" i="3"/>
  <c r="ES13" i="3"/>
  <c r="ES14" i="3"/>
  <c r="ES15" i="3"/>
  <c r="ES16" i="3"/>
  <c r="ES17" i="3"/>
  <c r="ES18" i="3"/>
  <c r="ES19" i="3"/>
  <c r="ES20" i="3"/>
  <c r="ES21" i="3"/>
  <c r="ES22" i="3"/>
  <c r="ES23" i="3"/>
  <c r="ES24" i="3"/>
  <c r="ES25" i="3"/>
  <c r="ES26" i="3"/>
  <c r="ES27" i="3"/>
  <c r="ES28" i="3"/>
  <c r="ES29" i="3"/>
  <c r="ES30" i="3"/>
  <c r="ES31" i="3"/>
  <c r="ES32" i="3"/>
  <c r="ES33" i="3"/>
  <c r="ES34" i="3"/>
  <c r="ES35" i="3"/>
  <c r="EW4" i="3"/>
  <c r="EW5" i="3"/>
  <c r="EW6" i="3"/>
  <c r="EW7" i="3"/>
  <c r="EW8" i="3"/>
  <c r="EW9" i="3"/>
  <c r="EW10" i="3"/>
  <c r="EW11" i="3"/>
  <c r="EW12" i="3"/>
  <c r="EW13" i="3"/>
  <c r="EW14" i="3"/>
  <c r="EW15" i="3"/>
  <c r="EW16" i="3"/>
  <c r="EW17" i="3"/>
  <c r="EW18" i="3"/>
  <c r="EW19" i="3"/>
  <c r="EW20" i="3"/>
  <c r="EW21" i="3"/>
  <c r="EW22" i="3"/>
  <c r="EW23" i="3"/>
  <c r="EW24" i="3"/>
  <c r="EW25" i="3"/>
  <c r="EW26" i="3"/>
  <c r="EW27" i="3"/>
  <c r="EW28" i="3"/>
  <c r="EW29" i="3"/>
  <c r="EW30" i="3"/>
  <c r="EW31" i="3"/>
  <c r="EW32" i="3"/>
  <c r="EW33" i="3"/>
  <c r="EW34" i="3"/>
  <c r="EW35" i="3"/>
  <c r="EF5" i="3"/>
  <c r="EF6" i="3"/>
  <c r="EF7" i="3"/>
  <c r="EF8" i="3"/>
  <c r="EF9" i="3"/>
  <c r="EF10" i="3"/>
  <c r="EF11" i="3"/>
  <c r="EF12" i="3"/>
  <c r="EF13" i="3"/>
  <c r="EF14" i="3"/>
  <c r="EF15" i="3"/>
  <c r="EF16" i="3"/>
  <c r="EF17" i="3"/>
  <c r="EF18" i="3"/>
  <c r="EF19" i="3"/>
  <c r="EF20" i="3"/>
  <c r="EF21" i="3"/>
  <c r="EF22" i="3"/>
  <c r="EF23" i="3"/>
  <c r="EF24" i="3"/>
  <c r="EF25" i="3"/>
  <c r="EF26" i="3"/>
  <c r="EF27" i="3"/>
  <c r="EF28" i="3"/>
  <c r="EF29" i="3"/>
  <c r="EF30" i="3"/>
  <c r="EF31" i="3"/>
  <c r="EF32" i="3"/>
  <c r="EF33" i="3"/>
  <c r="EF34" i="3"/>
  <c r="EF35" i="3"/>
  <c r="EF4" i="3"/>
  <c r="EB5" i="3"/>
  <c r="EB6" i="3"/>
  <c r="EB7" i="3"/>
  <c r="EB8" i="3"/>
  <c r="EB9" i="3"/>
  <c r="EB10" i="3"/>
  <c r="EB11" i="3"/>
  <c r="EB12" i="3"/>
  <c r="EB13" i="3"/>
  <c r="EB14" i="3"/>
  <c r="EB15" i="3"/>
  <c r="EB16" i="3"/>
  <c r="EB17" i="3"/>
  <c r="EB18" i="3"/>
  <c r="EB19" i="3"/>
  <c r="EB20" i="3"/>
  <c r="EB21" i="3"/>
  <c r="EB22" i="3"/>
  <c r="EB23" i="3"/>
  <c r="EB24" i="3"/>
  <c r="EB25" i="3"/>
  <c r="EB26" i="3"/>
  <c r="EB27" i="3"/>
  <c r="EB28" i="3"/>
  <c r="EB29" i="3"/>
  <c r="EB30" i="3"/>
  <c r="EB31" i="3"/>
  <c r="EB32" i="3"/>
  <c r="EB33" i="3"/>
  <c r="EB34" i="3"/>
  <c r="EB35" i="3"/>
  <c r="EB4" i="3"/>
  <c r="DX5" i="3"/>
  <c r="DX6" i="3"/>
  <c r="DX7" i="3"/>
  <c r="DX8" i="3"/>
  <c r="DX9" i="3"/>
  <c r="DX10" i="3"/>
  <c r="DX11" i="3"/>
  <c r="DX12" i="3"/>
  <c r="DX13" i="3"/>
  <c r="DX14" i="3"/>
  <c r="DX15" i="3"/>
  <c r="DX16" i="3"/>
  <c r="DX17" i="3"/>
  <c r="DX18" i="3"/>
  <c r="DX19" i="3"/>
  <c r="DX20" i="3"/>
  <c r="DX21" i="3"/>
  <c r="DX22" i="3"/>
  <c r="DX23" i="3"/>
  <c r="DX24" i="3"/>
  <c r="DX25" i="3"/>
  <c r="DX26" i="3"/>
  <c r="DX27" i="3"/>
  <c r="DX28" i="3"/>
  <c r="DX29" i="3"/>
  <c r="DX30" i="3"/>
  <c r="DX31" i="3"/>
  <c r="DX32" i="3"/>
  <c r="DX33" i="3"/>
  <c r="DX34" i="3"/>
  <c r="DX35" i="3"/>
  <c r="DX4" i="3"/>
  <c r="DT5" i="3"/>
  <c r="DT6" i="3"/>
  <c r="DT7" i="3"/>
  <c r="DT8" i="3"/>
  <c r="DT9" i="3"/>
  <c r="DT10" i="3"/>
  <c r="DT11" i="3"/>
  <c r="DT12" i="3"/>
  <c r="DT13" i="3"/>
  <c r="DT14" i="3"/>
  <c r="DT15" i="3"/>
  <c r="DT16" i="3"/>
  <c r="DT17" i="3"/>
  <c r="DT18" i="3"/>
  <c r="DT19" i="3"/>
  <c r="DT20" i="3"/>
  <c r="DT21" i="3"/>
  <c r="DT22" i="3"/>
  <c r="DT23" i="3"/>
  <c r="DT24" i="3"/>
  <c r="DT25" i="3"/>
  <c r="DT26" i="3"/>
  <c r="DT27" i="3"/>
  <c r="DT28" i="3"/>
  <c r="DT29" i="3"/>
  <c r="DT30" i="3"/>
  <c r="DT31" i="3"/>
  <c r="DT32" i="3"/>
  <c r="DT33" i="3"/>
  <c r="DT34" i="3"/>
  <c r="DT35" i="3"/>
  <c r="DT4" i="3"/>
  <c r="DO5" i="3" l="1"/>
  <c r="DO6" i="3"/>
  <c r="DO7" i="3"/>
  <c r="DO8" i="3"/>
  <c r="DO9" i="3"/>
  <c r="DO10" i="3"/>
  <c r="DO11" i="3"/>
  <c r="DO12" i="3"/>
  <c r="DO13" i="3"/>
  <c r="DO14" i="3"/>
  <c r="DO15" i="3"/>
  <c r="DO16" i="3"/>
  <c r="DO17" i="3"/>
  <c r="DO18" i="3"/>
  <c r="DO19" i="3"/>
  <c r="DO20" i="3"/>
  <c r="DO21" i="3"/>
  <c r="DO22" i="3"/>
  <c r="DO23" i="3"/>
  <c r="DO24" i="3"/>
  <c r="DO25" i="3"/>
  <c r="DO26" i="3"/>
  <c r="DO27" i="3"/>
  <c r="DO28" i="3"/>
  <c r="DO29" i="3"/>
  <c r="DO30" i="3"/>
  <c r="DO31" i="3"/>
  <c r="DO32" i="3"/>
  <c r="DO33" i="3"/>
  <c r="DO34" i="3"/>
  <c r="DO35" i="3"/>
  <c r="DO4" i="3"/>
  <c r="DK5" i="3"/>
  <c r="DK6" i="3"/>
  <c r="DK7" i="3"/>
  <c r="DK8" i="3"/>
  <c r="DK9" i="3"/>
  <c r="DK10" i="3"/>
  <c r="DK11" i="3"/>
  <c r="DK12" i="3"/>
  <c r="DK13" i="3"/>
  <c r="DK14" i="3"/>
  <c r="DK15" i="3"/>
  <c r="DK16" i="3"/>
  <c r="DK17" i="3"/>
  <c r="DK18" i="3"/>
  <c r="DK19" i="3"/>
  <c r="DK20" i="3"/>
  <c r="DK21" i="3"/>
  <c r="DK22" i="3"/>
  <c r="DK23" i="3"/>
  <c r="DK24" i="3"/>
  <c r="DK25" i="3"/>
  <c r="DK26" i="3"/>
  <c r="DK27" i="3"/>
  <c r="DK28" i="3"/>
  <c r="DK29" i="3"/>
  <c r="DK30" i="3"/>
  <c r="DK31" i="3"/>
  <c r="DK32" i="3"/>
  <c r="DK33" i="3"/>
  <c r="DK34" i="3"/>
  <c r="DK35" i="3"/>
  <c r="DK4" i="3"/>
  <c r="DG5" i="3"/>
  <c r="DG6" i="3"/>
  <c r="DG7" i="3"/>
  <c r="DG8" i="3"/>
  <c r="DG9" i="3"/>
  <c r="DG10" i="3"/>
  <c r="DG11" i="3"/>
  <c r="DG12" i="3"/>
  <c r="DG13" i="3"/>
  <c r="DG14" i="3"/>
  <c r="DG15" i="3"/>
  <c r="DG16" i="3"/>
  <c r="DG17" i="3"/>
  <c r="DG18" i="3"/>
  <c r="DG19" i="3"/>
  <c r="DG20" i="3"/>
  <c r="DG21" i="3"/>
  <c r="DG22" i="3"/>
  <c r="DG23" i="3"/>
  <c r="DG24" i="3"/>
  <c r="DG25" i="3"/>
  <c r="DG26" i="3"/>
  <c r="DG27" i="3"/>
  <c r="DG28" i="3"/>
  <c r="DG29" i="3"/>
  <c r="DG30" i="3"/>
  <c r="DG31" i="3"/>
  <c r="DG32" i="3"/>
  <c r="DG33" i="3"/>
  <c r="DG34" i="3"/>
  <c r="DG35" i="3"/>
  <c r="DG4" i="3"/>
  <c r="DC5" i="3"/>
  <c r="DC6" i="3"/>
  <c r="DC7" i="3"/>
  <c r="DC8" i="3"/>
  <c r="DC9" i="3"/>
  <c r="DC10" i="3"/>
  <c r="DC11" i="3"/>
  <c r="DC12" i="3"/>
  <c r="DC13" i="3"/>
  <c r="DC14" i="3"/>
  <c r="DC15" i="3"/>
  <c r="DC16" i="3"/>
  <c r="DC17" i="3"/>
  <c r="DC18" i="3"/>
  <c r="DC19" i="3"/>
  <c r="DC20" i="3"/>
  <c r="DC21" i="3"/>
  <c r="DC22" i="3"/>
  <c r="DC23" i="3"/>
  <c r="DC24" i="3"/>
  <c r="DC25" i="3"/>
  <c r="DC26" i="3"/>
  <c r="DC27" i="3"/>
  <c r="DC28" i="3"/>
  <c r="DC29" i="3"/>
  <c r="DC30" i="3"/>
  <c r="DC31" i="3"/>
  <c r="DC32" i="3"/>
  <c r="DC33" i="3"/>
  <c r="DC34" i="3"/>
  <c r="DC35" i="3"/>
  <c r="DC4" i="3"/>
  <c r="CL4" i="3" l="1"/>
  <c r="CL5" i="3"/>
  <c r="CL6" i="3"/>
  <c r="CL7" i="3"/>
  <c r="CL8" i="3"/>
  <c r="CL9" i="3"/>
  <c r="CL10" i="3"/>
  <c r="CL11" i="3"/>
  <c r="CL12" i="3"/>
  <c r="CL13" i="3"/>
  <c r="CL14" i="3"/>
  <c r="CL15" i="3"/>
  <c r="CL16" i="3"/>
  <c r="CL17" i="3"/>
  <c r="CL18" i="3"/>
  <c r="CL19" i="3"/>
  <c r="CL20" i="3"/>
  <c r="CL21" i="3"/>
  <c r="CL22" i="3"/>
  <c r="CL23" i="3"/>
  <c r="CL24" i="3"/>
  <c r="CL25" i="3"/>
  <c r="CL26" i="3"/>
  <c r="CL27" i="3"/>
  <c r="CL28" i="3"/>
  <c r="CL29" i="3"/>
  <c r="CL30" i="3"/>
  <c r="CL31" i="3"/>
  <c r="CL32" i="3"/>
  <c r="CL33" i="3"/>
  <c r="CL34" i="3"/>
  <c r="CL35" i="3"/>
  <c r="CP4" i="3"/>
  <c r="CP5" i="3"/>
  <c r="CP6" i="3"/>
  <c r="CP7" i="3"/>
  <c r="CP8" i="3"/>
  <c r="CP9" i="3"/>
  <c r="CP10" i="3"/>
  <c r="CP11" i="3"/>
  <c r="CP12" i="3"/>
  <c r="CP13" i="3"/>
  <c r="CP14" i="3"/>
  <c r="CP15" i="3"/>
  <c r="CP16" i="3"/>
  <c r="CP17" i="3"/>
  <c r="CP18" i="3"/>
  <c r="CP19" i="3"/>
  <c r="CP20" i="3"/>
  <c r="CP21" i="3"/>
  <c r="CP22" i="3"/>
  <c r="CP23" i="3"/>
  <c r="CP24" i="3"/>
  <c r="CP25" i="3"/>
  <c r="CP26" i="3"/>
  <c r="CP27" i="3"/>
  <c r="CP28" i="3"/>
  <c r="CP29" i="3"/>
  <c r="CP30" i="3"/>
  <c r="CP31" i="3"/>
  <c r="CP32" i="3"/>
  <c r="CP33" i="3"/>
  <c r="CP34" i="3"/>
  <c r="CP35" i="3"/>
  <c r="CT4" i="3"/>
  <c r="CT5" i="3"/>
  <c r="CT6" i="3"/>
  <c r="CT7" i="3"/>
  <c r="CT8" i="3"/>
  <c r="CT9" i="3"/>
  <c r="CT10" i="3"/>
  <c r="CT11" i="3"/>
  <c r="CT12" i="3"/>
  <c r="CT13" i="3"/>
  <c r="CT14" i="3"/>
  <c r="CT15" i="3"/>
  <c r="CT16" i="3"/>
  <c r="CT17" i="3"/>
  <c r="CT18" i="3"/>
  <c r="CT19" i="3"/>
  <c r="CT20" i="3"/>
  <c r="CT21" i="3"/>
  <c r="CT22" i="3"/>
  <c r="CT23" i="3"/>
  <c r="CT24" i="3"/>
  <c r="CT25" i="3"/>
  <c r="CT26" i="3"/>
  <c r="CT27" i="3"/>
  <c r="CT28" i="3"/>
  <c r="CT29" i="3"/>
  <c r="CT30" i="3"/>
  <c r="CT31" i="3"/>
  <c r="CT32" i="3"/>
  <c r="CT33" i="3"/>
  <c r="CT34" i="3"/>
  <c r="CT35" i="3"/>
  <c r="CX4" i="3"/>
  <c r="CX5" i="3"/>
  <c r="CX6" i="3"/>
  <c r="CX7" i="3"/>
  <c r="CX8" i="3"/>
  <c r="CX9" i="3"/>
  <c r="CX10" i="3"/>
  <c r="CX11" i="3"/>
  <c r="CX12" i="3"/>
  <c r="CX13" i="3"/>
  <c r="CX14" i="3"/>
  <c r="CX15" i="3"/>
  <c r="CX16" i="3"/>
  <c r="CX17" i="3"/>
  <c r="CX18" i="3"/>
  <c r="CX19" i="3"/>
  <c r="CX20" i="3"/>
  <c r="CX21" i="3"/>
  <c r="CX22" i="3"/>
  <c r="CX23" i="3"/>
  <c r="CX24" i="3"/>
  <c r="CX25" i="3"/>
  <c r="CX26" i="3"/>
  <c r="CX27" i="3"/>
  <c r="CX28" i="3"/>
  <c r="CX29" i="3"/>
  <c r="CX30" i="3"/>
  <c r="CX31" i="3"/>
  <c r="CX32" i="3"/>
  <c r="CX33" i="3"/>
  <c r="CX34" i="3"/>
  <c r="CX35" i="3"/>
  <c r="BU4" i="3"/>
  <c r="BU5" i="3"/>
  <c r="BU6" i="3"/>
  <c r="BU7" i="3"/>
  <c r="BU8" i="3"/>
  <c r="BU9" i="3"/>
  <c r="BU10" i="3"/>
  <c r="BU11" i="3"/>
  <c r="BU12" i="3"/>
  <c r="BU13" i="3"/>
  <c r="BU14" i="3"/>
  <c r="BU15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33" i="3"/>
  <c r="BU34" i="3"/>
  <c r="BU35" i="3"/>
  <c r="BY4" i="3"/>
  <c r="BY5" i="3"/>
  <c r="BY6" i="3"/>
  <c r="BY7" i="3"/>
  <c r="BY8" i="3"/>
  <c r="BY9" i="3"/>
  <c r="BY10" i="3"/>
  <c r="BY11" i="3"/>
  <c r="BY12" i="3"/>
  <c r="BY13" i="3"/>
  <c r="BY14" i="3"/>
  <c r="BY15" i="3"/>
  <c r="BY16" i="3"/>
  <c r="BY17" i="3"/>
  <c r="BY18" i="3"/>
  <c r="BY19" i="3"/>
  <c r="BY20" i="3"/>
  <c r="BY21" i="3"/>
  <c r="BY22" i="3"/>
  <c r="BY23" i="3"/>
  <c r="BY24" i="3"/>
  <c r="BY25" i="3"/>
  <c r="BY26" i="3"/>
  <c r="BY27" i="3"/>
  <c r="BY28" i="3"/>
  <c r="BY29" i="3"/>
  <c r="BY30" i="3"/>
  <c r="BY31" i="3"/>
  <c r="BY32" i="3"/>
  <c r="BY33" i="3"/>
  <c r="BY34" i="3"/>
  <c r="BY35" i="3"/>
  <c r="CC4" i="3"/>
  <c r="CC5" i="3"/>
  <c r="CC6" i="3"/>
  <c r="CC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CC24" i="3"/>
  <c r="CC25" i="3"/>
  <c r="CC26" i="3"/>
  <c r="CC27" i="3"/>
  <c r="CC28" i="3"/>
  <c r="CC29" i="3"/>
  <c r="CC30" i="3"/>
  <c r="CC31" i="3"/>
  <c r="CC32" i="3"/>
  <c r="CC33" i="3"/>
  <c r="CC34" i="3"/>
  <c r="CC35" i="3"/>
  <c r="CG4" i="3"/>
  <c r="CG5" i="3"/>
  <c r="CG6" i="3"/>
  <c r="CG7" i="3"/>
  <c r="CG8" i="3"/>
  <c r="CG9" i="3"/>
  <c r="CG10" i="3"/>
  <c r="CG11" i="3"/>
  <c r="CG12" i="3"/>
  <c r="CG13" i="3"/>
  <c r="CG14" i="3"/>
  <c r="CG15" i="3"/>
  <c r="CG16" i="3"/>
  <c r="CG17" i="3"/>
  <c r="CG18" i="3"/>
  <c r="CG19" i="3"/>
  <c r="CG20" i="3"/>
  <c r="CG21" i="3"/>
  <c r="CG22" i="3"/>
  <c r="CG23" i="3"/>
  <c r="CG24" i="3"/>
  <c r="CG25" i="3"/>
  <c r="CG26" i="3"/>
  <c r="CG27" i="3"/>
  <c r="CG28" i="3"/>
  <c r="CG29" i="3"/>
  <c r="CG30" i="3"/>
  <c r="CG31" i="3"/>
  <c r="CG32" i="3"/>
  <c r="CG33" i="3"/>
  <c r="CG34" i="3"/>
  <c r="CG35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H4" i="3"/>
  <c r="BH5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L4" i="3"/>
  <c r="BL5" i="3"/>
  <c r="BL6" i="3"/>
  <c r="BL7" i="3"/>
  <c r="BL8" i="3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P4" i="3"/>
  <c r="BP5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H4" i="3"/>
  <c r="AJ4" i="3" s="1"/>
  <c r="AH5" i="3"/>
  <c r="AH6" i="3"/>
  <c r="AJ6" i="3" s="1"/>
  <c r="AH7" i="3"/>
  <c r="AJ7" i="3" s="1"/>
  <c r="AH8" i="3"/>
  <c r="AH9" i="3"/>
  <c r="AH10" i="3"/>
  <c r="AH11" i="3"/>
  <c r="AH12" i="3"/>
  <c r="AH13" i="3"/>
  <c r="AH14" i="3"/>
  <c r="AJ14" i="3" s="1"/>
  <c r="AH15" i="3"/>
  <c r="AJ15" i="3" s="1"/>
  <c r="AH16" i="3"/>
  <c r="AJ16" i="3" s="1"/>
  <c r="AH17" i="3"/>
  <c r="AH18" i="3"/>
  <c r="AH19" i="3"/>
  <c r="AH20" i="3"/>
  <c r="AJ20" i="3" s="1"/>
  <c r="AH21" i="3"/>
  <c r="AH22" i="3"/>
  <c r="AJ22" i="3" s="1"/>
  <c r="AH23" i="3"/>
  <c r="AJ23" i="3" s="1"/>
  <c r="AH24" i="3"/>
  <c r="AJ24" i="3" s="1"/>
  <c r="AH25" i="3"/>
  <c r="AH26" i="3"/>
  <c r="AH27" i="3"/>
  <c r="AH28" i="3"/>
  <c r="AH29" i="3"/>
  <c r="AH30" i="3"/>
  <c r="AJ30" i="3" s="1"/>
  <c r="AH31" i="3"/>
  <c r="AJ31" i="3" s="1"/>
  <c r="AH32" i="3"/>
  <c r="AJ32" i="3" s="1"/>
  <c r="AH33" i="3"/>
  <c r="AH34" i="3"/>
  <c r="AH35" i="3"/>
  <c r="AJ12" i="3" l="1"/>
  <c r="AJ8" i="3"/>
  <c r="AJ35" i="3"/>
  <c r="AJ34" i="3"/>
  <c r="AJ26" i="3"/>
  <c r="AJ18" i="3"/>
  <c r="AJ10" i="3"/>
  <c r="AJ9" i="3"/>
  <c r="AJ28" i="3"/>
  <c r="AJ33" i="3"/>
  <c r="AJ25" i="3"/>
  <c r="AJ17" i="3"/>
  <c r="AJ5" i="3"/>
  <c r="AJ29" i="3"/>
  <c r="AJ21" i="3"/>
  <c r="AJ13" i="3"/>
  <c r="AJ27" i="3"/>
  <c r="AJ19" i="3"/>
  <c r="AJ11" i="3"/>
  <c r="Q4" i="3"/>
  <c r="Q5" i="3"/>
  <c r="S5" i="3" s="1"/>
  <c r="QG35" i="3"/>
  <c r="QI35" i="3" s="1"/>
  <c r="QB35" i="3"/>
  <c r="QD35" i="3" s="1"/>
  <c r="PW35" i="3"/>
  <c r="PY35" i="3" s="1"/>
  <c r="PR35" i="3"/>
  <c r="PT35" i="3" s="1"/>
  <c r="PM35" i="3"/>
  <c r="PI35" i="3"/>
  <c r="PO35" i="3" s="1"/>
  <c r="PF35" i="3"/>
  <c r="PD35" i="3"/>
  <c r="PA35" i="3"/>
  <c r="OY35" i="3"/>
  <c r="OV35" i="3"/>
  <c r="OT35" i="3"/>
  <c r="OP35" i="3"/>
  <c r="OK35" i="3"/>
  <c r="OG35" i="3"/>
  <c r="OM35" i="3" s="1"/>
  <c r="OB35" i="3"/>
  <c r="NX35" i="3"/>
  <c r="OD35" i="3" s="1"/>
  <c r="NS35" i="3"/>
  <c r="NO35" i="3"/>
  <c r="NU35" i="3" s="1"/>
  <c r="NJ35" i="3"/>
  <c r="NF35" i="3"/>
  <c r="NB35" i="3"/>
  <c r="MY35" i="3"/>
  <c r="MW35" i="3"/>
  <c r="MS35" i="3"/>
  <c r="MO35" i="3"/>
  <c r="MJ35" i="3"/>
  <c r="MF35" i="3"/>
  <c r="MB35" i="3"/>
  <c r="ML35" i="3" s="1"/>
  <c r="LY35" i="3"/>
  <c r="LW35" i="3"/>
  <c r="LS35" i="3"/>
  <c r="LO35" i="3"/>
  <c r="LJ35" i="3"/>
  <c r="LF35" i="3"/>
  <c r="LB35" i="3"/>
  <c r="KY35" i="3"/>
  <c r="KW35" i="3"/>
  <c r="KR35" i="3"/>
  <c r="KN35" i="3"/>
  <c r="KJ35" i="3"/>
  <c r="KF35" i="3"/>
  <c r="KT35" i="3" s="1"/>
  <c r="KB35" i="3"/>
  <c r="JX35" i="3"/>
  <c r="JS35" i="3"/>
  <c r="JO35" i="3"/>
  <c r="JK35" i="3"/>
  <c r="JG35" i="3"/>
  <c r="JC35" i="3"/>
  <c r="IY35" i="3"/>
  <c r="IV35" i="3"/>
  <c r="IT35" i="3"/>
  <c r="IP35" i="3"/>
  <c r="IL35" i="3"/>
  <c r="IH35" i="3"/>
  <c r="ID35" i="3"/>
  <c r="HZ35" i="3"/>
  <c r="HU35" i="3"/>
  <c r="HW35" i="3" s="1"/>
  <c r="HQ35" i="3"/>
  <c r="HM35" i="3"/>
  <c r="HI35" i="3"/>
  <c r="HE35" i="3"/>
  <c r="HA35" i="3"/>
  <c r="GV35" i="3"/>
  <c r="GR35" i="3"/>
  <c r="GX35" i="3" s="1"/>
  <c r="GN35" i="3"/>
  <c r="GJ35" i="3"/>
  <c r="GE35" i="3"/>
  <c r="GA35" i="3"/>
  <c r="FW35" i="3"/>
  <c r="FS35" i="3"/>
  <c r="GG35" i="3" s="1"/>
  <c r="Q35" i="3"/>
  <c r="M35" i="3"/>
  <c r="H35" i="3"/>
  <c r="D35" i="3"/>
  <c r="QG34" i="3"/>
  <c r="QI34" i="3" s="1"/>
  <c r="QB34" i="3"/>
  <c r="QD34" i="3" s="1"/>
  <c r="PW34" i="3"/>
  <c r="PY34" i="3" s="1"/>
  <c r="PT34" i="3"/>
  <c r="PR34" i="3"/>
  <c r="PM34" i="3"/>
  <c r="PI34" i="3"/>
  <c r="PO34" i="3" s="1"/>
  <c r="PF34" i="3"/>
  <c r="PD34" i="3"/>
  <c r="PA34" i="3"/>
  <c r="OY34" i="3"/>
  <c r="OV34" i="3"/>
  <c r="OT34" i="3"/>
  <c r="OP34" i="3"/>
  <c r="OK34" i="3"/>
  <c r="OG34" i="3"/>
  <c r="OM34" i="3" s="1"/>
  <c r="OD34" i="3"/>
  <c r="OB34" i="3"/>
  <c r="NX34" i="3"/>
  <c r="NS34" i="3"/>
  <c r="NO34" i="3"/>
  <c r="NU34" i="3" s="1"/>
  <c r="NL34" i="3"/>
  <c r="NJ34" i="3"/>
  <c r="NF34" i="3"/>
  <c r="NB34" i="3"/>
  <c r="MY34" i="3"/>
  <c r="MW34" i="3"/>
  <c r="MS34" i="3"/>
  <c r="MO34" i="3"/>
  <c r="ML34" i="3"/>
  <c r="MJ34" i="3"/>
  <c r="MF34" i="3"/>
  <c r="MB34" i="3"/>
  <c r="LY34" i="3"/>
  <c r="LW34" i="3"/>
  <c r="LS34" i="3"/>
  <c r="LO34" i="3"/>
  <c r="LL34" i="3"/>
  <c r="LJ34" i="3"/>
  <c r="LF34" i="3"/>
  <c r="LB34" i="3"/>
  <c r="KY34" i="3"/>
  <c r="KW34" i="3"/>
  <c r="KR34" i="3"/>
  <c r="KN34" i="3"/>
  <c r="KJ34" i="3"/>
  <c r="KF34" i="3"/>
  <c r="KB34" i="3"/>
  <c r="JX34" i="3"/>
  <c r="JS34" i="3"/>
  <c r="JO34" i="3"/>
  <c r="JK34" i="3"/>
  <c r="JG34" i="3"/>
  <c r="JC34" i="3"/>
  <c r="IY34" i="3"/>
  <c r="IT34" i="3"/>
  <c r="IP34" i="3"/>
  <c r="IL34" i="3"/>
  <c r="IH34" i="3"/>
  <c r="ID34" i="3"/>
  <c r="HZ34" i="3"/>
  <c r="HU34" i="3"/>
  <c r="HQ34" i="3"/>
  <c r="HM34" i="3"/>
  <c r="HI34" i="3"/>
  <c r="HE34" i="3"/>
  <c r="HW34" i="3" s="1"/>
  <c r="HA34" i="3"/>
  <c r="GX34" i="3"/>
  <c r="GV34" i="3"/>
  <c r="GR34" i="3"/>
  <c r="GN34" i="3"/>
  <c r="GJ34" i="3"/>
  <c r="GE34" i="3"/>
  <c r="GA34" i="3"/>
  <c r="FW34" i="3"/>
  <c r="FS34" i="3"/>
  <c r="BR34" i="3"/>
  <c r="Q34" i="3"/>
  <c r="M34" i="3"/>
  <c r="H34" i="3"/>
  <c r="D34" i="3"/>
  <c r="J34" i="3" s="1"/>
  <c r="QG33" i="3"/>
  <c r="QI33" i="3" s="1"/>
  <c r="QB33" i="3"/>
  <c r="QD33" i="3" s="1"/>
  <c r="PY33" i="3"/>
  <c r="PW33" i="3"/>
  <c r="PR33" i="3"/>
  <c r="PT33" i="3" s="1"/>
  <c r="PM33" i="3"/>
  <c r="PI33" i="3"/>
  <c r="PF33" i="3"/>
  <c r="PD33" i="3"/>
  <c r="PA33" i="3"/>
  <c r="OY33" i="3"/>
  <c r="OT33" i="3"/>
  <c r="OP33" i="3"/>
  <c r="OV33" i="3" s="1"/>
  <c r="OK33" i="3"/>
  <c r="OM33" i="3" s="1"/>
  <c r="OG33" i="3"/>
  <c r="OD33" i="3"/>
  <c r="OB33" i="3"/>
  <c r="NX33" i="3"/>
  <c r="NS33" i="3"/>
  <c r="NO33" i="3"/>
  <c r="NL33" i="3"/>
  <c r="NJ33" i="3"/>
  <c r="NF33" i="3"/>
  <c r="NB33" i="3"/>
  <c r="MW33" i="3"/>
  <c r="MS33" i="3"/>
  <c r="MO33" i="3"/>
  <c r="MY33" i="3" s="1"/>
  <c r="ML33" i="3"/>
  <c r="MJ33" i="3"/>
  <c r="MF33" i="3"/>
  <c r="MB33" i="3"/>
  <c r="LW33" i="3"/>
  <c r="LS33" i="3"/>
  <c r="LO33" i="3"/>
  <c r="LL33" i="3"/>
  <c r="LJ33" i="3"/>
  <c r="LF33" i="3"/>
  <c r="LB33" i="3"/>
  <c r="KY33" i="3"/>
  <c r="KW33" i="3"/>
  <c r="KR33" i="3"/>
  <c r="KN33" i="3"/>
  <c r="KT33" i="3" s="1"/>
  <c r="KJ33" i="3"/>
  <c r="KF33" i="3"/>
  <c r="KB33" i="3"/>
  <c r="JX33" i="3"/>
  <c r="JS33" i="3"/>
  <c r="JO33" i="3"/>
  <c r="JK33" i="3"/>
  <c r="JG33" i="3"/>
  <c r="JU33" i="3" s="1"/>
  <c r="JC33" i="3"/>
  <c r="IY33" i="3"/>
  <c r="IT33" i="3"/>
  <c r="IP33" i="3"/>
  <c r="IL33" i="3"/>
  <c r="IH33" i="3"/>
  <c r="IV33" i="3" s="1"/>
  <c r="ID33" i="3"/>
  <c r="HZ33" i="3"/>
  <c r="HU33" i="3"/>
  <c r="HQ33" i="3"/>
  <c r="HM33" i="3"/>
  <c r="HI33" i="3"/>
  <c r="HE33" i="3"/>
  <c r="HA33" i="3"/>
  <c r="GV33" i="3"/>
  <c r="GR33" i="3"/>
  <c r="GN33" i="3"/>
  <c r="GJ33" i="3"/>
  <c r="GX33" i="3" s="1"/>
  <c r="GE33" i="3"/>
  <c r="GG33" i="3" s="1"/>
  <c r="GA33" i="3"/>
  <c r="FW33" i="3"/>
  <c r="FS33" i="3"/>
  <c r="Q33" i="3"/>
  <c r="M33" i="3"/>
  <c r="H33" i="3"/>
  <c r="D33" i="3"/>
  <c r="QG32" i="3"/>
  <c r="QI32" i="3" s="1"/>
  <c r="QD32" i="3"/>
  <c r="QB32" i="3"/>
  <c r="PY32" i="3"/>
  <c r="PW32" i="3"/>
  <c r="PR32" i="3"/>
  <c r="PT32" i="3" s="1"/>
  <c r="PM32" i="3"/>
  <c r="PO32" i="3" s="1"/>
  <c r="PI32" i="3"/>
  <c r="PF32" i="3"/>
  <c r="PD32" i="3"/>
  <c r="OY32" i="3"/>
  <c r="PA32" i="3" s="1"/>
  <c r="OT32" i="3"/>
  <c r="OP32" i="3"/>
  <c r="OV32" i="3" s="1"/>
  <c r="OM32" i="3"/>
  <c r="OK32" i="3"/>
  <c r="OG32" i="3"/>
  <c r="OB32" i="3"/>
  <c r="NX32" i="3"/>
  <c r="OD32" i="3" s="1"/>
  <c r="NS32" i="3"/>
  <c r="NU32" i="3" s="1"/>
  <c r="NO32" i="3"/>
  <c r="NL32" i="3"/>
  <c r="NJ32" i="3"/>
  <c r="NF32" i="3"/>
  <c r="NB32" i="3"/>
  <c r="MW32" i="3"/>
  <c r="MS32" i="3"/>
  <c r="MY32" i="3" s="1"/>
  <c r="MO32" i="3"/>
  <c r="ML32" i="3"/>
  <c r="MJ32" i="3"/>
  <c r="MF32" i="3"/>
  <c r="MB32" i="3"/>
  <c r="LW32" i="3"/>
  <c r="LS32" i="3"/>
  <c r="LY32" i="3" s="1"/>
  <c r="LO32" i="3"/>
  <c r="LL32" i="3"/>
  <c r="LJ32" i="3"/>
  <c r="LF32" i="3"/>
  <c r="LB32" i="3"/>
  <c r="KY32" i="3"/>
  <c r="KW32" i="3"/>
  <c r="KT32" i="3"/>
  <c r="KR32" i="3"/>
  <c r="KN32" i="3"/>
  <c r="KJ32" i="3"/>
  <c r="KF32" i="3"/>
  <c r="KB32" i="3"/>
  <c r="JX32" i="3"/>
  <c r="JS32" i="3"/>
  <c r="JU32" i="3" s="1"/>
  <c r="JO32" i="3"/>
  <c r="JK32" i="3"/>
  <c r="JG32" i="3"/>
  <c r="JC32" i="3"/>
  <c r="IY32" i="3"/>
  <c r="IV32" i="3"/>
  <c r="IT32" i="3"/>
  <c r="IP32" i="3"/>
  <c r="IL32" i="3"/>
  <c r="IH32" i="3"/>
  <c r="ID32" i="3"/>
  <c r="HZ32" i="3"/>
  <c r="HU32" i="3"/>
  <c r="HQ32" i="3"/>
  <c r="HM32" i="3"/>
  <c r="HI32" i="3"/>
  <c r="HE32" i="3"/>
  <c r="HA32" i="3"/>
  <c r="GV32" i="3"/>
  <c r="GR32" i="3"/>
  <c r="GN32" i="3"/>
  <c r="GJ32" i="3"/>
  <c r="GX32" i="3" s="1"/>
  <c r="GG32" i="3"/>
  <c r="GE32" i="3"/>
  <c r="GA32" i="3"/>
  <c r="FW32" i="3"/>
  <c r="FS32" i="3"/>
  <c r="Q32" i="3"/>
  <c r="M32" i="3"/>
  <c r="H32" i="3"/>
  <c r="D32" i="3"/>
  <c r="QI31" i="3"/>
  <c r="QG31" i="3"/>
  <c r="QB31" i="3"/>
  <c r="QD31" i="3" s="1"/>
  <c r="PW31" i="3"/>
  <c r="PY31" i="3" s="1"/>
  <c r="PR31" i="3"/>
  <c r="PT31" i="3" s="1"/>
  <c r="PO31" i="3"/>
  <c r="PM31" i="3"/>
  <c r="PI31" i="3"/>
  <c r="PD31" i="3"/>
  <c r="PF31" i="3" s="1"/>
  <c r="PA31" i="3"/>
  <c r="OY31" i="3"/>
  <c r="OV31" i="3"/>
  <c r="OT31" i="3"/>
  <c r="OP31" i="3"/>
  <c r="OK31" i="3"/>
  <c r="OG31" i="3"/>
  <c r="OM31" i="3" s="1"/>
  <c r="OD31" i="3"/>
  <c r="OB31" i="3"/>
  <c r="NX31" i="3"/>
  <c r="NU31" i="3"/>
  <c r="NS31" i="3"/>
  <c r="NO31" i="3"/>
  <c r="NJ31" i="3"/>
  <c r="NF31" i="3"/>
  <c r="NB31" i="3"/>
  <c r="MY31" i="3"/>
  <c r="MW31" i="3"/>
  <c r="MS31" i="3"/>
  <c r="MO31" i="3"/>
  <c r="MJ31" i="3"/>
  <c r="MF31" i="3"/>
  <c r="MB31" i="3"/>
  <c r="ML31" i="3" s="1"/>
  <c r="LY31" i="3"/>
  <c r="LW31" i="3"/>
  <c r="LS31" i="3"/>
  <c r="LO31" i="3"/>
  <c r="LJ31" i="3"/>
  <c r="LF31" i="3"/>
  <c r="LB31" i="3"/>
  <c r="KY31" i="3"/>
  <c r="KW31" i="3"/>
  <c r="KR31" i="3"/>
  <c r="KN31" i="3"/>
  <c r="KJ31" i="3"/>
  <c r="KF31" i="3"/>
  <c r="KT31" i="3" s="1"/>
  <c r="KB31" i="3"/>
  <c r="JX31" i="3"/>
  <c r="JS31" i="3"/>
  <c r="JO31" i="3"/>
  <c r="JK31" i="3"/>
  <c r="JG31" i="3"/>
  <c r="JC31" i="3"/>
  <c r="JU31" i="3" s="1"/>
  <c r="IY31" i="3"/>
  <c r="IV31" i="3"/>
  <c r="IT31" i="3"/>
  <c r="IP31" i="3"/>
  <c r="IL31" i="3"/>
  <c r="IH31" i="3"/>
  <c r="ID31" i="3"/>
  <c r="HZ31" i="3"/>
  <c r="HU31" i="3"/>
  <c r="HW31" i="3" s="1"/>
  <c r="HQ31" i="3"/>
  <c r="HM31" i="3"/>
  <c r="HI31" i="3"/>
  <c r="HE31" i="3"/>
  <c r="HA31" i="3"/>
  <c r="GV31" i="3"/>
  <c r="GR31" i="3"/>
  <c r="GX31" i="3" s="1"/>
  <c r="GN31" i="3"/>
  <c r="GJ31" i="3"/>
  <c r="GE31" i="3"/>
  <c r="GA31" i="3"/>
  <c r="FW31" i="3"/>
  <c r="FS31" i="3"/>
  <c r="GG31" i="3" s="1"/>
  <c r="Q31" i="3"/>
  <c r="M31" i="3"/>
  <c r="H31" i="3"/>
  <c r="D31" i="3"/>
  <c r="J31" i="3" s="1"/>
  <c r="QG30" i="3"/>
  <c r="QI30" i="3" s="1"/>
  <c r="QB30" i="3"/>
  <c r="QD30" i="3" s="1"/>
  <c r="PW30" i="3"/>
  <c r="PY30" i="3" s="1"/>
  <c r="PT30" i="3"/>
  <c r="PR30" i="3"/>
  <c r="PM30" i="3"/>
  <c r="PI30" i="3"/>
  <c r="PO30" i="3" s="1"/>
  <c r="PF30" i="3"/>
  <c r="PD30" i="3"/>
  <c r="PA30" i="3"/>
  <c r="OY30" i="3"/>
  <c r="OV30" i="3"/>
  <c r="OT30" i="3"/>
  <c r="OP30" i="3"/>
  <c r="OK30" i="3"/>
  <c r="OG30" i="3"/>
  <c r="OM30" i="3" s="1"/>
  <c r="OD30" i="3"/>
  <c r="OB30" i="3"/>
  <c r="NX30" i="3"/>
  <c r="NS30" i="3"/>
  <c r="NO30" i="3"/>
  <c r="NU30" i="3" s="1"/>
  <c r="NL30" i="3"/>
  <c r="NJ30" i="3"/>
  <c r="NF30" i="3"/>
  <c r="NB30" i="3"/>
  <c r="MY30" i="3"/>
  <c r="MW30" i="3"/>
  <c r="MS30" i="3"/>
  <c r="MO30" i="3"/>
  <c r="ML30" i="3"/>
  <c r="MJ30" i="3"/>
  <c r="MF30" i="3"/>
  <c r="MB30" i="3"/>
  <c r="LW30" i="3"/>
  <c r="LS30" i="3"/>
  <c r="LY30" i="3" s="1"/>
  <c r="LO30" i="3"/>
  <c r="LL30" i="3"/>
  <c r="LJ30" i="3"/>
  <c r="LF30" i="3"/>
  <c r="LB30" i="3"/>
  <c r="KW30" i="3"/>
  <c r="KY30" i="3" s="1"/>
  <c r="KR30" i="3"/>
  <c r="KN30" i="3"/>
  <c r="KJ30" i="3"/>
  <c r="KF30" i="3"/>
  <c r="KT30" i="3" s="1"/>
  <c r="KB30" i="3"/>
  <c r="JX30" i="3"/>
  <c r="JS30" i="3"/>
  <c r="JO30" i="3"/>
  <c r="JK30" i="3"/>
  <c r="JG30" i="3"/>
  <c r="JU30" i="3" s="1"/>
  <c r="JC30" i="3"/>
  <c r="IY30" i="3"/>
  <c r="IT30" i="3"/>
  <c r="IP30" i="3"/>
  <c r="IL30" i="3"/>
  <c r="IH30" i="3"/>
  <c r="ID30" i="3"/>
  <c r="HZ30" i="3"/>
  <c r="HU30" i="3"/>
  <c r="HQ30" i="3"/>
  <c r="HM30" i="3"/>
  <c r="HI30" i="3"/>
  <c r="HE30" i="3"/>
  <c r="HW30" i="3" s="1"/>
  <c r="HA30" i="3"/>
  <c r="GX30" i="3"/>
  <c r="GV30" i="3"/>
  <c r="GR30" i="3"/>
  <c r="GN30" i="3"/>
  <c r="GJ30" i="3"/>
  <c r="GE30" i="3"/>
  <c r="GA30" i="3"/>
  <c r="FW30" i="3"/>
  <c r="FS30" i="3"/>
  <c r="Q30" i="3"/>
  <c r="M30" i="3"/>
  <c r="H30" i="3"/>
  <c r="D30" i="3"/>
  <c r="J30" i="3" s="1"/>
  <c r="QG29" i="3"/>
  <c r="QI29" i="3" s="1"/>
  <c r="QD29" i="3"/>
  <c r="QB29" i="3"/>
  <c r="PY29" i="3"/>
  <c r="PW29" i="3"/>
  <c r="PT29" i="3"/>
  <c r="PR29" i="3"/>
  <c r="PM29" i="3"/>
  <c r="PI29" i="3"/>
  <c r="PF29" i="3"/>
  <c r="PD29" i="3"/>
  <c r="OY29" i="3"/>
  <c r="PA29" i="3" s="1"/>
  <c r="OT29" i="3"/>
  <c r="OP29" i="3"/>
  <c r="OV29" i="3" s="1"/>
  <c r="OK29" i="3"/>
  <c r="OM29" i="3" s="1"/>
  <c r="OG29" i="3"/>
  <c r="OB29" i="3"/>
  <c r="NX29" i="3"/>
  <c r="OD29" i="3" s="1"/>
  <c r="NS29" i="3"/>
  <c r="NO29" i="3"/>
  <c r="NU29" i="3" s="1"/>
  <c r="NL29" i="3"/>
  <c r="NJ29" i="3"/>
  <c r="NF29" i="3"/>
  <c r="NB29" i="3"/>
  <c r="MW29" i="3"/>
  <c r="MS29" i="3"/>
  <c r="MO29" i="3"/>
  <c r="ML29" i="3"/>
  <c r="MJ29" i="3"/>
  <c r="MF29" i="3"/>
  <c r="MB29" i="3"/>
  <c r="LW29" i="3"/>
  <c r="LS29" i="3"/>
  <c r="LO29" i="3"/>
  <c r="LL29" i="3"/>
  <c r="LJ29" i="3"/>
  <c r="LF29" i="3"/>
  <c r="LB29" i="3"/>
  <c r="KY29" i="3"/>
  <c r="KW29" i="3"/>
  <c r="KT29" i="3"/>
  <c r="KR29" i="3"/>
  <c r="KN29" i="3"/>
  <c r="KJ29" i="3"/>
  <c r="KF29" i="3"/>
  <c r="KB29" i="3"/>
  <c r="JX29" i="3"/>
  <c r="JS29" i="3"/>
  <c r="JO29" i="3"/>
  <c r="JK29" i="3"/>
  <c r="JG29" i="3"/>
  <c r="JC29" i="3"/>
  <c r="IY29" i="3"/>
  <c r="IT29" i="3"/>
  <c r="IP29" i="3"/>
  <c r="IL29" i="3"/>
  <c r="IH29" i="3"/>
  <c r="ID29" i="3"/>
  <c r="HZ29" i="3"/>
  <c r="HU29" i="3"/>
  <c r="HQ29" i="3"/>
  <c r="HM29" i="3"/>
  <c r="HI29" i="3"/>
  <c r="HW29" i="3" s="1"/>
  <c r="HE29" i="3"/>
  <c r="HA29" i="3"/>
  <c r="GV29" i="3"/>
  <c r="GR29" i="3"/>
  <c r="GN29" i="3"/>
  <c r="GJ29" i="3"/>
  <c r="GX29" i="3" s="1"/>
  <c r="GE29" i="3"/>
  <c r="GG29" i="3" s="1"/>
  <c r="GA29" i="3"/>
  <c r="FW29" i="3"/>
  <c r="FS29" i="3"/>
  <c r="Q29" i="3"/>
  <c r="M29" i="3"/>
  <c r="H29" i="3"/>
  <c r="D29" i="3"/>
  <c r="QG28" i="3"/>
  <c r="QI28" i="3" s="1"/>
  <c r="QD28" i="3"/>
  <c r="QB28" i="3"/>
  <c r="PW28" i="3"/>
  <c r="PY28" i="3" s="1"/>
  <c r="PR28" i="3"/>
  <c r="PT28" i="3" s="1"/>
  <c r="PM28" i="3"/>
  <c r="PO28" i="3" s="1"/>
  <c r="PI28" i="3"/>
  <c r="PD28" i="3"/>
  <c r="PF28" i="3" s="1"/>
  <c r="OY28" i="3"/>
  <c r="PA28" i="3" s="1"/>
  <c r="OT28" i="3"/>
  <c r="OP28" i="3"/>
  <c r="OV28" i="3" s="1"/>
  <c r="OM28" i="3"/>
  <c r="OK28" i="3"/>
  <c r="OG28" i="3"/>
  <c r="OB28" i="3"/>
  <c r="NX28" i="3"/>
  <c r="OD28" i="3" s="1"/>
  <c r="NS28" i="3"/>
  <c r="NU28" i="3" s="1"/>
  <c r="NO28" i="3"/>
  <c r="NJ28" i="3"/>
  <c r="NF28" i="3"/>
  <c r="NB28" i="3"/>
  <c r="NL28" i="3" s="1"/>
  <c r="MY28" i="3"/>
  <c r="MW28" i="3"/>
  <c r="MS28" i="3"/>
  <c r="MO28" i="3"/>
  <c r="MJ28" i="3"/>
  <c r="MF28" i="3"/>
  <c r="MB28" i="3"/>
  <c r="ML28" i="3" s="1"/>
  <c r="LW28" i="3"/>
  <c r="LS28" i="3"/>
  <c r="LY28" i="3" s="1"/>
  <c r="LO28" i="3"/>
  <c r="LJ28" i="3"/>
  <c r="LF28" i="3"/>
  <c r="LB28" i="3"/>
  <c r="LL28" i="3" s="1"/>
  <c r="KY28" i="3"/>
  <c r="KW28" i="3"/>
  <c r="KR28" i="3"/>
  <c r="KN28" i="3"/>
  <c r="KJ28" i="3"/>
  <c r="KF28" i="3"/>
  <c r="KB28" i="3"/>
  <c r="JX28" i="3"/>
  <c r="KT28" i="3" s="1"/>
  <c r="JS28" i="3"/>
  <c r="JU28" i="3" s="1"/>
  <c r="JO28" i="3"/>
  <c r="JK28" i="3"/>
  <c r="JG28" i="3"/>
  <c r="JC28" i="3"/>
  <c r="IY28" i="3"/>
  <c r="IV28" i="3"/>
  <c r="IT28" i="3"/>
  <c r="IP28" i="3"/>
  <c r="IL28" i="3"/>
  <c r="IH28" i="3"/>
  <c r="ID28" i="3"/>
  <c r="HZ28" i="3"/>
  <c r="HU28" i="3"/>
  <c r="HQ28" i="3"/>
  <c r="HM28" i="3"/>
  <c r="HI28" i="3"/>
  <c r="HE28" i="3"/>
  <c r="HA28" i="3"/>
  <c r="GV28" i="3"/>
  <c r="GR28" i="3"/>
  <c r="GN28" i="3"/>
  <c r="GJ28" i="3"/>
  <c r="GX28" i="3" s="1"/>
  <c r="GG28" i="3"/>
  <c r="GE28" i="3"/>
  <c r="GA28" i="3"/>
  <c r="FW28" i="3"/>
  <c r="FS28" i="3"/>
  <c r="Q28" i="3"/>
  <c r="M28" i="3"/>
  <c r="H28" i="3"/>
  <c r="D28" i="3"/>
  <c r="QI27" i="3"/>
  <c r="QG27" i="3"/>
  <c r="QD27" i="3"/>
  <c r="QB27" i="3"/>
  <c r="PW27" i="3"/>
  <c r="PY27" i="3" s="1"/>
  <c r="PR27" i="3"/>
  <c r="PT27" i="3" s="1"/>
  <c r="PO27" i="3"/>
  <c r="PM27" i="3"/>
  <c r="PI27" i="3"/>
  <c r="PD27" i="3"/>
  <c r="PF27" i="3" s="1"/>
  <c r="PA27" i="3"/>
  <c r="OY27" i="3"/>
  <c r="OV27" i="3"/>
  <c r="OT27" i="3"/>
  <c r="OP27" i="3"/>
  <c r="OK27" i="3"/>
  <c r="OG27" i="3"/>
  <c r="OM27" i="3" s="1"/>
  <c r="OB27" i="3"/>
  <c r="OD27" i="3" s="1"/>
  <c r="NX27" i="3"/>
  <c r="NU27" i="3"/>
  <c r="NS27" i="3"/>
  <c r="NO27" i="3"/>
  <c r="NJ27" i="3"/>
  <c r="NF27" i="3"/>
  <c r="NB27" i="3"/>
  <c r="NL27" i="3" s="1"/>
  <c r="MY27" i="3"/>
  <c r="MW27" i="3"/>
  <c r="MS27" i="3"/>
  <c r="MO27" i="3"/>
  <c r="MJ27" i="3"/>
  <c r="MF27" i="3"/>
  <c r="MB27" i="3"/>
  <c r="LY27" i="3"/>
  <c r="LW27" i="3"/>
  <c r="LS27" i="3"/>
  <c r="LO27" i="3"/>
  <c r="LJ27" i="3"/>
  <c r="LF27" i="3"/>
  <c r="LB27" i="3"/>
  <c r="LL27" i="3" s="1"/>
  <c r="KY27" i="3"/>
  <c r="KW27" i="3"/>
  <c r="KR27" i="3"/>
  <c r="KN27" i="3"/>
  <c r="KJ27" i="3"/>
  <c r="KF27" i="3"/>
  <c r="KT27" i="3" s="1"/>
  <c r="KB27" i="3"/>
  <c r="JX27" i="3"/>
  <c r="JS27" i="3"/>
  <c r="JO27" i="3"/>
  <c r="JK27" i="3"/>
  <c r="JG27" i="3"/>
  <c r="JC27" i="3"/>
  <c r="IY27" i="3"/>
  <c r="IT27" i="3"/>
  <c r="IP27" i="3"/>
  <c r="IL27" i="3"/>
  <c r="IH27" i="3"/>
  <c r="ID27" i="3"/>
  <c r="HZ27" i="3"/>
  <c r="IV27" i="3" s="1"/>
  <c r="HW27" i="3"/>
  <c r="HU27" i="3"/>
  <c r="HQ27" i="3"/>
  <c r="HM27" i="3"/>
  <c r="HI27" i="3"/>
  <c r="HE27" i="3"/>
  <c r="HA27" i="3"/>
  <c r="GV27" i="3"/>
  <c r="GX27" i="3" s="1"/>
  <c r="GR27" i="3"/>
  <c r="GN27" i="3"/>
  <c r="GJ27" i="3"/>
  <c r="GE27" i="3"/>
  <c r="GA27" i="3"/>
  <c r="FW27" i="3"/>
  <c r="FS27" i="3"/>
  <c r="GG27" i="3" s="1"/>
  <c r="Q27" i="3"/>
  <c r="M27" i="3"/>
  <c r="H27" i="3"/>
  <c r="D27" i="3"/>
  <c r="QG26" i="3"/>
  <c r="QI26" i="3" s="1"/>
  <c r="QB26" i="3"/>
  <c r="QD26" i="3" s="1"/>
  <c r="PY26" i="3"/>
  <c r="PW26" i="3"/>
  <c r="PT26" i="3"/>
  <c r="PR26" i="3"/>
  <c r="PM26" i="3"/>
  <c r="PO26" i="3" s="1"/>
  <c r="PI26" i="3"/>
  <c r="PD26" i="3"/>
  <c r="PF26" i="3" s="1"/>
  <c r="PA26" i="3"/>
  <c r="OY26" i="3"/>
  <c r="OV26" i="3"/>
  <c r="OT26" i="3"/>
  <c r="OP26" i="3"/>
  <c r="OK26" i="3"/>
  <c r="OG26" i="3"/>
  <c r="OD26" i="3"/>
  <c r="OB26" i="3"/>
  <c r="NX26" i="3"/>
  <c r="NS26" i="3"/>
  <c r="NO26" i="3"/>
  <c r="NU26" i="3" s="1"/>
  <c r="NJ26" i="3"/>
  <c r="NL26" i="3" s="1"/>
  <c r="NF26" i="3"/>
  <c r="NB26" i="3"/>
  <c r="MY26" i="3"/>
  <c r="MW26" i="3"/>
  <c r="MS26" i="3"/>
  <c r="MO26" i="3"/>
  <c r="MJ26" i="3"/>
  <c r="ML26" i="3" s="1"/>
  <c r="MF26" i="3"/>
  <c r="MB26" i="3"/>
  <c r="LY26" i="3"/>
  <c r="LW26" i="3"/>
  <c r="LS26" i="3"/>
  <c r="LO26" i="3"/>
  <c r="LJ26" i="3"/>
  <c r="LL26" i="3" s="1"/>
  <c r="LF26" i="3"/>
  <c r="LB26" i="3"/>
  <c r="KY26" i="3"/>
  <c r="KW26" i="3"/>
  <c r="KR26" i="3"/>
  <c r="KN26" i="3"/>
  <c r="KJ26" i="3"/>
  <c r="KF26" i="3"/>
  <c r="KT26" i="3" s="1"/>
  <c r="KB26" i="3"/>
  <c r="JX26" i="3"/>
  <c r="JS26" i="3"/>
  <c r="JO26" i="3"/>
  <c r="JK26" i="3"/>
  <c r="JG26" i="3"/>
  <c r="JC26" i="3"/>
  <c r="IY26" i="3"/>
  <c r="IT26" i="3"/>
  <c r="IP26" i="3"/>
  <c r="IL26" i="3"/>
  <c r="IH26" i="3"/>
  <c r="ID26" i="3"/>
  <c r="HZ26" i="3"/>
  <c r="HU26" i="3"/>
  <c r="HQ26" i="3"/>
  <c r="HM26" i="3"/>
  <c r="HI26" i="3"/>
  <c r="HE26" i="3"/>
  <c r="HW26" i="3" s="1"/>
  <c r="HA26" i="3"/>
  <c r="GX26" i="3"/>
  <c r="GV26" i="3"/>
  <c r="GR26" i="3"/>
  <c r="GN26" i="3"/>
  <c r="GJ26" i="3"/>
  <c r="GE26" i="3"/>
  <c r="GA26" i="3"/>
  <c r="FW26" i="3"/>
  <c r="FS26" i="3"/>
  <c r="Q26" i="3"/>
  <c r="M26" i="3"/>
  <c r="H26" i="3"/>
  <c r="D26" i="3"/>
  <c r="QG25" i="3"/>
  <c r="QI25" i="3" s="1"/>
  <c r="QB25" i="3"/>
  <c r="QD25" i="3" s="1"/>
  <c r="PY25" i="3"/>
  <c r="PW25" i="3"/>
  <c r="PR25" i="3"/>
  <c r="PT25" i="3" s="1"/>
  <c r="PM25" i="3"/>
  <c r="PI25" i="3"/>
  <c r="PO25" i="3" s="1"/>
  <c r="PF25" i="3"/>
  <c r="PD25" i="3"/>
  <c r="OY25" i="3"/>
  <c r="PA25" i="3" s="1"/>
  <c r="OT25" i="3"/>
  <c r="OP25" i="3"/>
  <c r="OV25" i="3" s="1"/>
  <c r="OM25" i="3"/>
  <c r="OK25" i="3"/>
  <c r="OG25" i="3"/>
  <c r="OB25" i="3"/>
  <c r="NX25" i="3"/>
  <c r="OD25" i="3" s="1"/>
  <c r="NS25" i="3"/>
  <c r="NO25" i="3"/>
  <c r="NL25" i="3"/>
  <c r="NJ25" i="3"/>
  <c r="NF25" i="3"/>
  <c r="NB25" i="3"/>
  <c r="MW25" i="3"/>
  <c r="MS25" i="3"/>
  <c r="MO25" i="3"/>
  <c r="MY25" i="3" s="1"/>
  <c r="ML25" i="3"/>
  <c r="MJ25" i="3"/>
  <c r="MF25" i="3"/>
  <c r="MB25" i="3"/>
  <c r="LW25" i="3"/>
  <c r="LS25" i="3"/>
  <c r="LO25" i="3"/>
  <c r="LL25" i="3"/>
  <c r="LJ25" i="3"/>
  <c r="LF25" i="3"/>
  <c r="LB25" i="3"/>
  <c r="KW25" i="3"/>
  <c r="KY25" i="3" s="1"/>
  <c r="KR25" i="3"/>
  <c r="KT25" i="3" s="1"/>
  <c r="KN25" i="3"/>
  <c r="KJ25" i="3"/>
  <c r="KF25" i="3"/>
  <c r="KB25" i="3"/>
  <c r="JX25" i="3"/>
  <c r="JS25" i="3"/>
  <c r="JO25" i="3"/>
  <c r="JK25" i="3"/>
  <c r="JG25" i="3"/>
  <c r="JC25" i="3"/>
  <c r="IY25" i="3"/>
  <c r="IT25" i="3"/>
  <c r="IP25" i="3"/>
  <c r="IL25" i="3"/>
  <c r="IH25" i="3"/>
  <c r="ID25" i="3"/>
  <c r="HZ25" i="3"/>
  <c r="HU25" i="3"/>
  <c r="HQ25" i="3"/>
  <c r="HM25" i="3"/>
  <c r="HI25" i="3"/>
  <c r="HW25" i="3" s="1"/>
  <c r="HE25" i="3"/>
  <c r="HA25" i="3"/>
  <c r="GV25" i="3"/>
  <c r="GR25" i="3"/>
  <c r="GN25" i="3"/>
  <c r="GJ25" i="3"/>
  <c r="GX25" i="3" s="1"/>
  <c r="GE25" i="3"/>
  <c r="GG25" i="3" s="1"/>
  <c r="GA25" i="3"/>
  <c r="FW25" i="3"/>
  <c r="FS25" i="3"/>
  <c r="BR25" i="3"/>
  <c r="Q25" i="3"/>
  <c r="M25" i="3"/>
  <c r="H25" i="3"/>
  <c r="D25" i="3"/>
  <c r="QG24" i="3"/>
  <c r="QI24" i="3" s="1"/>
  <c r="QD24" i="3"/>
  <c r="QB24" i="3"/>
  <c r="PW24" i="3"/>
  <c r="PY24" i="3" s="1"/>
  <c r="PR24" i="3"/>
  <c r="PT24" i="3" s="1"/>
  <c r="PO24" i="3"/>
  <c r="PM24" i="3"/>
  <c r="PI24" i="3"/>
  <c r="PF24" i="3"/>
  <c r="PD24" i="3"/>
  <c r="OY24" i="3"/>
  <c r="PA24" i="3" s="1"/>
  <c r="OT24" i="3"/>
  <c r="OP24" i="3"/>
  <c r="OV24" i="3" s="1"/>
  <c r="OM24" i="3"/>
  <c r="OK24" i="3"/>
  <c r="OG24" i="3"/>
  <c r="OB24" i="3"/>
  <c r="NX24" i="3"/>
  <c r="OD24" i="3" s="1"/>
  <c r="NS24" i="3"/>
  <c r="NU24" i="3" s="1"/>
  <c r="NO24" i="3"/>
  <c r="NJ24" i="3"/>
  <c r="NF24" i="3"/>
  <c r="NB24" i="3"/>
  <c r="NL24" i="3" s="1"/>
  <c r="MY24" i="3"/>
  <c r="MW24" i="3"/>
  <c r="MS24" i="3"/>
  <c r="MO24" i="3"/>
  <c r="MJ24" i="3"/>
  <c r="MF24" i="3"/>
  <c r="MB24" i="3"/>
  <c r="ML24" i="3" s="1"/>
  <c r="LY24" i="3"/>
  <c r="LW24" i="3"/>
  <c r="LS24" i="3"/>
  <c r="LO24" i="3"/>
  <c r="LJ24" i="3"/>
  <c r="LF24" i="3"/>
  <c r="LB24" i="3"/>
  <c r="LL24" i="3" s="1"/>
  <c r="KW24" i="3"/>
  <c r="KY24" i="3" s="1"/>
  <c r="KT24" i="3"/>
  <c r="KR24" i="3"/>
  <c r="KN24" i="3"/>
  <c r="KJ24" i="3"/>
  <c r="KF24" i="3"/>
  <c r="KB24" i="3"/>
  <c r="JX24" i="3"/>
  <c r="JS24" i="3"/>
  <c r="JU24" i="3" s="1"/>
  <c r="JO24" i="3"/>
  <c r="JK24" i="3"/>
  <c r="JG24" i="3"/>
  <c r="JC24" i="3"/>
  <c r="IY24" i="3"/>
  <c r="IT24" i="3"/>
  <c r="IP24" i="3"/>
  <c r="IV24" i="3" s="1"/>
  <c r="IL24" i="3"/>
  <c r="IH24" i="3"/>
  <c r="ID24" i="3"/>
  <c r="HZ24" i="3"/>
  <c r="HU24" i="3"/>
  <c r="HQ24" i="3"/>
  <c r="HM24" i="3"/>
  <c r="HI24" i="3"/>
  <c r="HE24" i="3"/>
  <c r="HA24" i="3"/>
  <c r="GV24" i="3"/>
  <c r="GR24" i="3"/>
  <c r="GN24" i="3"/>
  <c r="GJ24" i="3"/>
  <c r="GG24" i="3"/>
  <c r="GE24" i="3"/>
  <c r="GA24" i="3"/>
  <c r="FW24" i="3"/>
  <c r="FS24" i="3"/>
  <c r="Q24" i="3"/>
  <c r="M24" i="3"/>
  <c r="H24" i="3"/>
  <c r="D24" i="3"/>
  <c r="QI23" i="3"/>
  <c r="QG23" i="3"/>
  <c r="QB23" i="3"/>
  <c r="QD23" i="3" s="1"/>
  <c r="PW23" i="3"/>
  <c r="PY23" i="3" s="1"/>
  <c r="PR23" i="3"/>
  <c r="PT23" i="3" s="1"/>
  <c r="PO23" i="3"/>
  <c r="PM23" i="3"/>
  <c r="PI23" i="3"/>
  <c r="PF23" i="3"/>
  <c r="PD23" i="3"/>
  <c r="PA23" i="3"/>
  <c r="OY23" i="3"/>
  <c r="OV23" i="3"/>
  <c r="OT23" i="3"/>
  <c r="OP23" i="3"/>
  <c r="OK23" i="3"/>
  <c r="OG23" i="3"/>
  <c r="OM23" i="3" s="1"/>
  <c r="OD23" i="3"/>
  <c r="OB23" i="3"/>
  <c r="NX23" i="3"/>
  <c r="NU23" i="3"/>
  <c r="NS23" i="3"/>
  <c r="NO23" i="3"/>
  <c r="NJ23" i="3"/>
  <c r="NF23" i="3"/>
  <c r="NB23" i="3"/>
  <c r="NL23" i="3" s="1"/>
  <c r="MY23" i="3"/>
  <c r="MW23" i="3"/>
  <c r="MS23" i="3"/>
  <c r="MO23" i="3"/>
  <c r="MJ23" i="3"/>
  <c r="MF23" i="3"/>
  <c r="MB23" i="3"/>
  <c r="ML23" i="3" s="1"/>
  <c r="LY23" i="3"/>
  <c r="LW23" i="3"/>
  <c r="LS23" i="3"/>
  <c r="LO23" i="3"/>
  <c r="LJ23" i="3"/>
  <c r="LF23" i="3"/>
  <c r="LB23" i="3"/>
  <c r="LL23" i="3" s="1"/>
  <c r="KY23" i="3"/>
  <c r="KW23" i="3"/>
  <c r="KR23" i="3"/>
  <c r="KN23" i="3"/>
  <c r="KJ23" i="3"/>
  <c r="KF23" i="3"/>
  <c r="KT23" i="3" s="1"/>
  <c r="KB23" i="3"/>
  <c r="JX23" i="3"/>
  <c r="JS23" i="3"/>
  <c r="JO23" i="3"/>
  <c r="JK23" i="3"/>
  <c r="JG23" i="3"/>
  <c r="JC23" i="3"/>
  <c r="IY23" i="3"/>
  <c r="IT23" i="3"/>
  <c r="IP23" i="3"/>
  <c r="IL23" i="3"/>
  <c r="IH23" i="3"/>
  <c r="ID23" i="3"/>
  <c r="HZ23" i="3"/>
  <c r="IV23" i="3" s="1"/>
  <c r="HW23" i="3"/>
  <c r="HU23" i="3"/>
  <c r="HQ23" i="3"/>
  <c r="HM23" i="3"/>
  <c r="HI23" i="3"/>
  <c r="HE23" i="3"/>
  <c r="HA23" i="3"/>
  <c r="GV23" i="3"/>
  <c r="GX23" i="3" s="1"/>
  <c r="GR23" i="3"/>
  <c r="GN23" i="3"/>
  <c r="GJ23" i="3"/>
  <c r="GE23" i="3"/>
  <c r="GA23" i="3"/>
  <c r="FW23" i="3"/>
  <c r="FS23" i="3"/>
  <c r="GG23" i="3" s="1"/>
  <c r="Q23" i="3"/>
  <c r="M23" i="3"/>
  <c r="H23" i="3"/>
  <c r="D23" i="3"/>
  <c r="QI22" i="3"/>
  <c r="QG22" i="3"/>
  <c r="QB22" i="3"/>
  <c r="QD22" i="3" s="1"/>
  <c r="PW22" i="3"/>
  <c r="PY22" i="3" s="1"/>
  <c r="PT22" i="3"/>
  <c r="PR22" i="3"/>
  <c r="PM22" i="3"/>
  <c r="PI22" i="3"/>
  <c r="PO22" i="3" s="1"/>
  <c r="PD22" i="3"/>
  <c r="PF22" i="3" s="1"/>
  <c r="OY22" i="3"/>
  <c r="PA22" i="3" s="1"/>
  <c r="OV22" i="3"/>
  <c r="OT22" i="3"/>
  <c r="OP22" i="3"/>
  <c r="OK22" i="3"/>
  <c r="OG22" i="3"/>
  <c r="OM22" i="3" s="1"/>
  <c r="OD22" i="3"/>
  <c r="OB22" i="3"/>
  <c r="NX22" i="3"/>
  <c r="NS22" i="3"/>
  <c r="NO22" i="3"/>
  <c r="NU22" i="3" s="1"/>
  <c r="NL22" i="3"/>
  <c r="NJ22" i="3"/>
  <c r="NF22" i="3"/>
  <c r="NB22" i="3"/>
  <c r="MY22" i="3"/>
  <c r="MW22" i="3"/>
  <c r="MS22" i="3"/>
  <c r="MO22" i="3"/>
  <c r="ML22" i="3"/>
  <c r="MJ22" i="3"/>
  <c r="MF22" i="3"/>
  <c r="MB22" i="3"/>
  <c r="LY22" i="3"/>
  <c r="LW22" i="3"/>
  <c r="LS22" i="3"/>
  <c r="LO22" i="3"/>
  <c r="LL22" i="3"/>
  <c r="LJ22" i="3"/>
  <c r="LF22" i="3"/>
  <c r="LB22" i="3"/>
  <c r="KW22" i="3"/>
  <c r="KY22" i="3" s="1"/>
  <c r="KR22" i="3"/>
  <c r="KN22" i="3"/>
  <c r="KJ22" i="3"/>
  <c r="KF22" i="3"/>
  <c r="KT22" i="3" s="1"/>
  <c r="KB22" i="3"/>
  <c r="JX22" i="3"/>
  <c r="JS22" i="3"/>
  <c r="JO22" i="3"/>
  <c r="JK22" i="3"/>
  <c r="JG22" i="3"/>
  <c r="JC22" i="3"/>
  <c r="IY22" i="3"/>
  <c r="IT22" i="3"/>
  <c r="IP22" i="3"/>
  <c r="IL22" i="3"/>
  <c r="IH22" i="3"/>
  <c r="ID22" i="3"/>
  <c r="HZ22" i="3"/>
  <c r="HW22" i="3"/>
  <c r="HU22" i="3"/>
  <c r="HQ22" i="3"/>
  <c r="HM22" i="3"/>
  <c r="HI22" i="3"/>
  <c r="HE22" i="3"/>
  <c r="HA22" i="3"/>
  <c r="GV22" i="3"/>
  <c r="GX22" i="3" s="1"/>
  <c r="GR22" i="3"/>
  <c r="GN22" i="3"/>
  <c r="GJ22" i="3"/>
  <c r="GE22" i="3"/>
  <c r="GA22" i="3"/>
  <c r="FW22" i="3"/>
  <c r="FS22" i="3"/>
  <c r="Q22" i="3"/>
  <c r="M22" i="3"/>
  <c r="H22" i="3"/>
  <c r="D22" i="3"/>
  <c r="QG21" i="3"/>
  <c r="QI21" i="3" s="1"/>
  <c r="QD21" i="3"/>
  <c r="QB21" i="3"/>
  <c r="PY21" i="3"/>
  <c r="PW21" i="3"/>
  <c r="PR21" i="3"/>
  <c r="PT21" i="3" s="1"/>
  <c r="PM21" i="3"/>
  <c r="PI21" i="3"/>
  <c r="PO21" i="3" s="1"/>
  <c r="PD21" i="3"/>
  <c r="PF21" i="3" s="1"/>
  <c r="OY21" i="3"/>
  <c r="PA21" i="3" s="1"/>
  <c r="OT21" i="3"/>
  <c r="OP21" i="3"/>
  <c r="OV21" i="3" s="1"/>
  <c r="OK21" i="3"/>
  <c r="OG21" i="3"/>
  <c r="OM21" i="3" s="1"/>
  <c r="OB21" i="3"/>
  <c r="NX21" i="3"/>
  <c r="OD21" i="3" s="1"/>
  <c r="NS21" i="3"/>
  <c r="NO21" i="3"/>
  <c r="NU21" i="3" s="1"/>
  <c r="NL21" i="3"/>
  <c r="NJ21" i="3"/>
  <c r="NF21" i="3"/>
  <c r="NB21" i="3"/>
  <c r="MW21" i="3"/>
  <c r="MS21" i="3"/>
  <c r="MO21" i="3"/>
  <c r="ML21" i="3"/>
  <c r="MJ21" i="3"/>
  <c r="MF21" i="3"/>
  <c r="MB21" i="3"/>
  <c r="LW21" i="3"/>
  <c r="LS21" i="3"/>
  <c r="LO21" i="3"/>
  <c r="LY21" i="3" s="1"/>
  <c r="LJ21" i="3"/>
  <c r="LL21" i="3" s="1"/>
  <c r="LF21" i="3"/>
  <c r="LB21" i="3"/>
  <c r="KW21" i="3"/>
  <c r="KY21" i="3" s="1"/>
  <c r="KT21" i="3"/>
  <c r="KR21" i="3"/>
  <c r="KN21" i="3"/>
  <c r="KJ21" i="3"/>
  <c r="KF21" i="3"/>
  <c r="KB21" i="3"/>
  <c r="JX21" i="3"/>
  <c r="JS21" i="3"/>
  <c r="JO21" i="3"/>
  <c r="JK21" i="3"/>
  <c r="JG21" i="3"/>
  <c r="JC21" i="3"/>
  <c r="IY21" i="3"/>
  <c r="IT21" i="3"/>
  <c r="IP21" i="3"/>
  <c r="IL21" i="3"/>
  <c r="IH21" i="3"/>
  <c r="IV21" i="3" s="1"/>
  <c r="ID21" i="3"/>
  <c r="HZ21" i="3"/>
  <c r="HU21" i="3"/>
  <c r="HQ21" i="3"/>
  <c r="HM21" i="3"/>
  <c r="HI21" i="3"/>
  <c r="HE21" i="3"/>
  <c r="HA21" i="3"/>
  <c r="GV21" i="3"/>
  <c r="GR21" i="3"/>
  <c r="GN21" i="3"/>
  <c r="GJ21" i="3"/>
  <c r="GX21" i="3" s="1"/>
  <c r="GG21" i="3"/>
  <c r="GE21" i="3"/>
  <c r="GA21" i="3"/>
  <c r="FW21" i="3"/>
  <c r="FS21" i="3"/>
  <c r="EH21" i="3"/>
  <c r="Q21" i="3"/>
  <c r="M21" i="3"/>
  <c r="H21" i="3"/>
  <c r="D21" i="3"/>
  <c r="QG20" i="3"/>
  <c r="QI20" i="3" s="1"/>
  <c r="QD20" i="3"/>
  <c r="QB20" i="3"/>
  <c r="PW20" i="3"/>
  <c r="PY20" i="3" s="1"/>
  <c r="PR20" i="3"/>
  <c r="PT20" i="3" s="1"/>
  <c r="PO20" i="3"/>
  <c r="PM20" i="3"/>
  <c r="PI20" i="3"/>
  <c r="PF20" i="3"/>
  <c r="PD20" i="3"/>
  <c r="OY20" i="3"/>
  <c r="PA20" i="3" s="1"/>
  <c r="OT20" i="3"/>
  <c r="OP20" i="3"/>
  <c r="OV20" i="3" s="1"/>
  <c r="OM20" i="3"/>
  <c r="OK20" i="3"/>
  <c r="OG20" i="3"/>
  <c r="OB20" i="3"/>
  <c r="NX20" i="3"/>
  <c r="OD20" i="3" s="1"/>
  <c r="NS20" i="3"/>
  <c r="NO20" i="3"/>
  <c r="NU20" i="3" s="1"/>
  <c r="NJ20" i="3"/>
  <c r="NF20" i="3"/>
  <c r="NB20" i="3"/>
  <c r="NL20" i="3" s="1"/>
  <c r="MW20" i="3"/>
  <c r="MS20" i="3"/>
  <c r="MO20" i="3"/>
  <c r="MY20" i="3" s="1"/>
  <c r="MJ20" i="3"/>
  <c r="MF20" i="3"/>
  <c r="MB20" i="3"/>
  <c r="ML20" i="3" s="1"/>
  <c r="LY20" i="3"/>
  <c r="LW20" i="3"/>
  <c r="LS20" i="3"/>
  <c r="LO20" i="3"/>
  <c r="LJ20" i="3"/>
  <c r="LF20" i="3"/>
  <c r="LB20" i="3"/>
  <c r="LL20" i="3" s="1"/>
  <c r="KW20" i="3"/>
  <c r="KY20" i="3" s="1"/>
  <c r="KR20" i="3"/>
  <c r="KT20" i="3" s="1"/>
  <c r="KN20" i="3"/>
  <c r="KJ20" i="3"/>
  <c r="KF20" i="3"/>
  <c r="KB20" i="3"/>
  <c r="JX20" i="3"/>
  <c r="JU20" i="3"/>
  <c r="JS20" i="3"/>
  <c r="JO20" i="3"/>
  <c r="JK20" i="3"/>
  <c r="JG20" i="3"/>
  <c r="JC20" i="3"/>
  <c r="IY20" i="3"/>
  <c r="IT20" i="3"/>
  <c r="IP20" i="3"/>
  <c r="IL20" i="3"/>
  <c r="IV20" i="3" s="1"/>
  <c r="IH20" i="3"/>
  <c r="ID20" i="3"/>
  <c r="HZ20" i="3"/>
  <c r="HU20" i="3"/>
  <c r="HQ20" i="3"/>
  <c r="HM20" i="3"/>
  <c r="HI20" i="3"/>
  <c r="HE20" i="3"/>
  <c r="HA20" i="3"/>
  <c r="GV20" i="3"/>
  <c r="GR20" i="3"/>
  <c r="GN20" i="3"/>
  <c r="GJ20" i="3"/>
  <c r="GG20" i="3"/>
  <c r="GE20" i="3"/>
  <c r="GA20" i="3"/>
  <c r="FW20" i="3"/>
  <c r="FS20" i="3"/>
  <c r="Q20" i="3"/>
  <c r="M20" i="3"/>
  <c r="H20" i="3"/>
  <c r="D20" i="3"/>
  <c r="QI19" i="3"/>
  <c r="QG19" i="3"/>
  <c r="QB19" i="3"/>
  <c r="QD19" i="3" s="1"/>
  <c r="PW19" i="3"/>
  <c r="PY19" i="3" s="1"/>
  <c r="PR19" i="3"/>
  <c r="PT19" i="3" s="1"/>
  <c r="PO19" i="3"/>
  <c r="PM19" i="3"/>
  <c r="PI19" i="3"/>
  <c r="PF19" i="3"/>
  <c r="PD19" i="3"/>
  <c r="PA19" i="3"/>
  <c r="OY19" i="3"/>
  <c r="OV19" i="3"/>
  <c r="OT19" i="3"/>
  <c r="OP19" i="3"/>
  <c r="OK19" i="3"/>
  <c r="OG19" i="3"/>
  <c r="OM19" i="3" s="1"/>
  <c r="OD19" i="3"/>
  <c r="OB19" i="3"/>
  <c r="NX19" i="3"/>
  <c r="NU19" i="3"/>
  <c r="NS19" i="3"/>
  <c r="NO19" i="3"/>
  <c r="NJ19" i="3"/>
  <c r="NF19" i="3"/>
  <c r="NB19" i="3"/>
  <c r="NL19" i="3" s="1"/>
  <c r="MW19" i="3"/>
  <c r="MY19" i="3" s="1"/>
  <c r="MS19" i="3"/>
  <c r="MO19" i="3"/>
  <c r="MJ19" i="3"/>
  <c r="MF19" i="3"/>
  <c r="MB19" i="3"/>
  <c r="LW19" i="3"/>
  <c r="LY19" i="3" s="1"/>
  <c r="LS19" i="3"/>
  <c r="LO19" i="3"/>
  <c r="LJ19" i="3"/>
  <c r="LF19" i="3"/>
  <c r="LB19" i="3"/>
  <c r="LL19" i="3" s="1"/>
  <c r="KW19" i="3"/>
  <c r="KY19" i="3" s="1"/>
  <c r="KR19" i="3"/>
  <c r="KN19" i="3"/>
  <c r="KJ19" i="3"/>
  <c r="KF19" i="3"/>
  <c r="KB19" i="3"/>
  <c r="JX19" i="3"/>
  <c r="JS19" i="3"/>
  <c r="JO19" i="3"/>
  <c r="JK19" i="3"/>
  <c r="JG19" i="3"/>
  <c r="JC19" i="3"/>
  <c r="IY19" i="3"/>
  <c r="IV19" i="3"/>
  <c r="IT19" i="3"/>
  <c r="IP19" i="3"/>
  <c r="IL19" i="3"/>
  <c r="IH19" i="3"/>
  <c r="ID19" i="3"/>
  <c r="HZ19" i="3"/>
  <c r="HW19" i="3"/>
  <c r="HU19" i="3"/>
  <c r="HQ19" i="3"/>
  <c r="HM19" i="3"/>
  <c r="HI19" i="3"/>
  <c r="HE19" i="3"/>
  <c r="HA19" i="3"/>
  <c r="GV19" i="3"/>
  <c r="GR19" i="3"/>
  <c r="GN19" i="3"/>
  <c r="GJ19" i="3"/>
  <c r="GX19" i="3" s="1"/>
  <c r="GE19" i="3"/>
  <c r="GA19" i="3"/>
  <c r="FW19" i="3"/>
  <c r="FS19" i="3"/>
  <c r="GG19" i="3" s="1"/>
  <c r="Q19" i="3"/>
  <c r="M19" i="3"/>
  <c r="H19" i="3"/>
  <c r="D19" i="3"/>
  <c r="QI18" i="3"/>
  <c r="QG18" i="3"/>
  <c r="QD18" i="3"/>
  <c r="QB18" i="3"/>
  <c r="PW18" i="3"/>
  <c r="PY18" i="3" s="1"/>
  <c r="PR18" i="3"/>
  <c r="PT18" i="3" s="1"/>
  <c r="PO18" i="3"/>
  <c r="PM18" i="3"/>
  <c r="PI18" i="3"/>
  <c r="PD18" i="3"/>
  <c r="PF18" i="3" s="1"/>
  <c r="PA18" i="3"/>
  <c r="OY18" i="3"/>
  <c r="OT18" i="3"/>
  <c r="OV18" i="3" s="1"/>
  <c r="OP18" i="3"/>
  <c r="OK18" i="3"/>
  <c r="OG18" i="3"/>
  <c r="OM18" i="3" s="1"/>
  <c r="OD18" i="3"/>
  <c r="OB18" i="3"/>
  <c r="NX18" i="3"/>
  <c r="NU18" i="3"/>
  <c r="NS18" i="3"/>
  <c r="NO18" i="3"/>
  <c r="NJ18" i="3"/>
  <c r="NF18" i="3"/>
  <c r="NB18" i="3"/>
  <c r="NL18" i="3" s="1"/>
  <c r="MW18" i="3"/>
  <c r="MS18" i="3"/>
  <c r="MO18" i="3"/>
  <c r="MY18" i="3" s="1"/>
  <c r="MJ18" i="3"/>
  <c r="MF18" i="3"/>
  <c r="MB18" i="3"/>
  <c r="ML18" i="3" s="1"/>
  <c r="LW18" i="3"/>
  <c r="LS18" i="3"/>
  <c r="LO18" i="3"/>
  <c r="LY18" i="3" s="1"/>
  <c r="LJ18" i="3"/>
  <c r="LF18" i="3"/>
  <c r="LB18" i="3"/>
  <c r="LL18" i="3" s="1"/>
  <c r="KW18" i="3"/>
  <c r="KY18" i="3" s="1"/>
  <c r="KR18" i="3"/>
  <c r="KN18" i="3"/>
  <c r="KJ18" i="3"/>
  <c r="KF18" i="3"/>
  <c r="KB18" i="3"/>
  <c r="JX18" i="3"/>
  <c r="JS18" i="3"/>
  <c r="JO18" i="3"/>
  <c r="JK18" i="3"/>
  <c r="JG18" i="3"/>
  <c r="JC18" i="3"/>
  <c r="IY18" i="3"/>
  <c r="IT18" i="3"/>
  <c r="IP18" i="3"/>
  <c r="IL18" i="3"/>
  <c r="IH18" i="3"/>
  <c r="ID18" i="3"/>
  <c r="HZ18" i="3"/>
  <c r="HU18" i="3"/>
  <c r="HQ18" i="3"/>
  <c r="HM18" i="3"/>
  <c r="HI18" i="3"/>
  <c r="HW18" i="3" s="1"/>
  <c r="HE18" i="3"/>
  <c r="HA18" i="3"/>
  <c r="GX18" i="3"/>
  <c r="GV18" i="3"/>
  <c r="GR18" i="3"/>
  <c r="GN18" i="3"/>
  <c r="GJ18" i="3"/>
  <c r="GE18" i="3"/>
  <c r="GA18" i="3"/>
  <c r="FW18" i="3"/>
  <c r="FS18" i="3"/>
  <c r="Q18" i="3"/>
  <c r="M18" i="3"/>
  <c r="H18" i="3"/>
  <c r="D18" i="3"/>
  <c r="QI17" i="3"/>
  <c r="QG17" i="3"/>
  <c r="QD17" i="3"/>
  <c r="QB17" i="3"/>
  <c r="PW17" i="3"/>
  <c r="PY17" i="3" s="1"/>
  <c r="PT17" i="3"/>
  <c r="PR17" i="3"/>
  <c r="PM17" i="3"/>
  <c r="PI17" i="3"/>
  <c r="PO17" i="3" s="1"/>
  <c r="PF17" i="3"/>
  <c r="PD17" i="3"/>
  <c r="OY17" i="3"/>
  <c r="PA17" i="3" s="1"/>
  <c r="OT17" i="3"/>
  <c r="OV17" i="3" s="1"/>
  <c r="OP17" i="3"/>
  <c r="OM17" i="3"/>
  <c r="OK17" i="3"/>
  <c r="OG17" i="3"/>
  <c r="OB17" i="3"/>
  <c r="NX17" i="3"/>
  <c r="OD17" i="3" s="1"/>
  <c r="NS17" i="3"/>
  <c r="NO17" i="3"/>
  <c r="NU17" i="3" s="1"/>
  <c r="NL17" i="3"/>
  <c r="NJ17" i="3"/>
  <c r="NF17" i="3"/>
  <c r="NB17" i="3"/>
  <c r="MW17" i="3"/>
  <c r="MS17" i="3"/>
  <c r="MO17" i="3"/>
  <c r="MY17" i="3" s="1"/>
  <c r="ML17" i="3"/>
  <c r="MJ17" i="3"/>
  <c r="MF17" i="3"/>
  <c r="MB17" i="3"/>
  <c r="LW17" i="3"/>
  <c r="LS17" i="3"/>
  <c r="LO17" i="3"/>
  <c r="LY17" i="3" s="1"/>
  <c r="LL17" i="3"/>
  <c r="LJ17" i="3"/>
  <c r="LF17" i="3"/>
  <c r="LB17" i="3"/>
  <c r="KW17" i="3"/>
  <c r="KY17" i="3" s="1"/>
  <c r="KR17" i="3"/>
  <c r="KN17" i="3"/>
  <c r="KJ17" i="3"/>
  <c r="KF17" i="3"/>
  <c r="KB17" i="3"/>
  <c r="JX17" i="3"/>
  <c r="JS17" i="3"/>
  <c r="JO17" i="3"/>
  <c r="JK17" i="3"/>
  <c r="JU17" i="3" s="1"/>
  <c r="JG17" i="3"/>
  <c r="JC17" i="3"/>
  <c r="IY17" i="3"/>
  <c r="IT17" i="3"/>
  <c r="IP17" i="3"/>
  <c r="IL17" i="3"/>
  <c r="IH17" i="3"/>
  <c r="ID17" i="3"/>
  <c r="HZ17" i="3"/>
  <c r="HU17" i="3"/>
  <c r="HQ17" i="3"/>
  <c r="HM17" i="3"/>
  <c r="HI17" i="3"/>
  <c r="HE17" i="3"/>
  <c r="HA17" i="3"/>
  <c r="GV17" i="3"/>
  <c r="GR17" i="3"/>
  <c r="GN17" i="3"/>
  <c r="GX17" i="3" s="1"/>
  <c r="GJ17" i="3"/>
  <c r="GE17" i="3"/>
  <c r="GG17" i="3" s="1"/>
  <c r="GA17" i="3"/>
  <c r="FW17" i="3"/>
  <c r="FS17" i="3"/>
  <c r="Q17" i="3"/>
  <c r="M17" i="3"/>
  <c r="H17" i="3"/>
  <c r="D17" i="3"/>
  <c r="QG16" i="3"/>
  <c r="QI16" i="3" s="1"/>
  <c r="QB16" i="3"/>
  <c r="QD16" i="3" s="1"/>
  <c r="PY16" i="3"/>
  <c r="PW16" i="3"/>
  <c r="PT16" i="3"/>
  <c r="PR16" i="3"/>
  <c r="PO16" i="3"/>
  <c r="PM16" i="3"/>
  <c r="PI16" i="3"/>
  <c r="PD16" i="3"/>
  <c r="PF16" i="3" s="1"/>
  <c r="OY16" i="3"/>
  <c r="PA16" i="3" s="1"/>
  <c r="OT16" i="3"/>
  <c r="OP16" i="3"/>
  <c r="OV16" i="3" s="1"/>
  <c r="OK16" i="3"/>
  <c r="OG16" i="3"/>
  <c r="OM16" i="3" s="1"/>
  <c r="OB16" i="3"/>
  <c r="OD16" i="3" s="1"/>
  <c r="NX16" i="3"/>
  <c r="NS16" i="3"/>
  <c r="NU16" i="3" s="1"/>
  <c r="NO16" i="3"/>
  <c r="NJ16" i="3"/>
  <c r="NF16" i="3"/>
  <c r="NB16" i="3"/>
  <c r="NL16" i="3" s="1"/>
  <c r="MW16" i="3"/>
  <c r="MS16" i="3"/>
  <c r="MO16" i="3"/>
  <c r="MY16" i="3" s="1"/>
  <c r="MJ16" i="3"/>
  <c r="MF16" i="3"/>
  <c r="MB16" i="3"/>
  <c r="ML16" i="3" s="1"/>
  <c r="LW16" i="3"/>
  <c r="LS16" i="3"/>
  <c r="LO16" i="3"/>
  <c r="LJ16" i="3"/>
  <c r="LF16" i="3"/>
  <c r="LB16" i="3"/>
  <c r="LL16" i="3" s="1"/>
  <c r="KW16" i="3"/>
  <c r="KY16" i="3" s="1"/>
  <c r="KT16" i="3"/>
  <c r="KR16" i="3"/>
  <c r="KN16" i="3"/>
  <c r="KJ16" i="3"/>
  <c r="KF16" i="3"/>
  <c r="KB16" i="3"/>
  <c r="JX16" i="3"/>
  <c r="JS16" i="3"/>
  <c r="JU16" i="3" s="1"/>
  <c r="JO16" i="3"/>
  <c r="JK16" i="3"/>
  <c r="JG16" i="3"/>
  <c r="JC16" i="3"/>
  <c r="IY16" i="3"/>
  <c r="IT16" i="3"/>
  <c r="IP16" i="3"/>
  <c r="IL16" i="3"/>
  <c r="IH16" i="3"/>
  <c r="ID16" i="3"/>
  <c r="HZ16" i="3"/>
  <c r="HU16" i="3"/>
  <c r="HQ16" i="3"/>
  <c r="HM16" i="3"/>
  <c r="HW16" i="3" s="1"/>
  <c r="HI16" i="3"/>
  <c r="HE16" i="3"/>
  <c r="HA16" i="3"/>
  <c r="GV16" i="3"/>
  <c r="GR16" i="3"/>
  <c r="GN16" i="3"/>
  <c r="GJ16" i="3"/>
  <c r="GX16" i="3" s="1"/>
  <c r="GE16" i="3"/>
  <c r="GA16" i="3"/>
  <c r="FW16" i="3"/>
  <c r="FS16" i="3"/>
  <c r="GG16" i="3" s="1"/>
  <c r="Q16" i="3"/>
  <c r="M16" i="3"/>
  <c r="H16" i="3"/>
  <c r="D16" i="3"/>
  <c r="QG15" i="3"/>
  <c r="QI15" i="3" s="1"/>
  <c r="QD15" i="3"/>
  <c r="QB15" i="3"/>
  <c r="PY15" i="3"/>
  <c r="PW15" i="3"/>
  <c r="PT15" i="3"/>
  <c r="PR15" i="3"/>
  <c r="PM15" i="3"/>
  <c r="PI15" i="3"/>
  <c r="PO15" i="3" s="1"/>
  <c r="PD15" i="3"/>
  <c r="PF15" i="3" s="1"/>
  <c r="OY15" i="3"/>
  <c r="PA15" i="3" s="1"/>
  <c r="OV15" i="3"/>
  <c r="OT15" i="3"/>
  <c r="OP15" i="3"/>
  <c r="OM15" i="3"/>
  <c r="OK15" i="3"/>
  <c r="OG15" i="3"/>
  <c r="OB15" i="3"/>
  <c r="NX15" i="3"/>
  <c r="NS15" i="3"/>
  <c r="NO15" i="3"/>
  <c r="NU15" i="3" s="1"/>
  <c r="NJ15" i="3"/>
  <c r="NF15" i="3"/>
  <c r="NB15" i="3"/>
  <c r="NL15" i="3" s="1"/>
  <c r="MY15" i="3"/>
  <c r="MW15" i="3"/>
  <c r="MS15" i="3"/>
  <c r="MO15" i="3"/>
  <c r="MJ15" i="3"/>
  <c r="MF15" i="3"/>
  <c r="MB15" i="3"/>
  <c r="ML15" i="3" s="1"/>
  <c r="LY15" i="3"/>
  <c r="LW15" i="3"/>
  <c r="LS15" i="3"/>
  <c r="LO15" i="3"/>
  <c r="LJ15" i="3"/>
  <c r="LF15" i="3"/>
  <c r="LB15" i="3"/>
  <c r="LL15" i="3" s="1"/>
  <c r="KY15" i="3"/>
  <c r="KW15" i="3"/>
  <c r="KR15" i="3"/>
  <c r="KN15" i="3"/>
  <c r="KJ15" i="3"/>
  <c r="KF15" i="3"/>
  <c r="KB15" i="3"/>
  <c r="JX15" i="3"/>
  <c r="JS15" i="3"/>
  <c r="JO15" i="3"/>
  <c r="JK15" i="3"/>
  <c r="JG15" i="3"/>
  <c r="JU15" i="3" s="1"/>
  <c r="JC15" i="3"/>
  <c r="IY15" i="3"/>
  <c r="IV15" i="3"/>
  <c r="IT15" i="3"/>
  <c r="IP15" i="3"/>
  <c r="IL15" i="3"/>
  <c r="IH15" i="3"/>
  <c r="ID15" i="3"/>
  <c r="HZ15" i="3"/>
  <c r="HW15" i="3"/>
  <c r="HU15" i="3"/>
  <c r="HQ15" i="3"/>
  <c r="HM15" i="3"/>
  <c r="HI15" i="3"/>
  <c r="HE15" i="3"/>
  <c r="HA15" i="3"/>
  <c r="GV15" i="3"/>
  <c r="GR15" i="3"/>
  <c r="GN15" i="3"/>
  <c r="GJ15" i="3"/>
  <c r="GE15" i="3"/>
  <c r="GA15" i="3"/>
  <c r="FW15" i="3"/>
  <c r="FS15" i="3"/>
  <c r="GG15" i="3" s="1"/>
  <c r="Q15" i="3"/>
  <c r="M15" i="3"/>
  <c r="H15" i="3"/>
  <c r="D15" i="3"/>
  <c r="QI14" i="3"/>
  <c r="QG14" i="3"/>
  <c r="QD14" i="3"/>
  <c r="QB14" i="3"/>
  <c r="PW14" i="3"/>
  <c r="PY14" i="3" s="1"/>
  <c r="PR14" i="3"/>
  <c r="PT14" i="3" s="1"/>
  <c r="PO14" i="3"/>
  <c r="PM14" i="3"/>
  <c r="PI14" i="3"/>
  <c r="PD14" i="3"/>
  <c r="PF14" i="3" s="1"/>
  <c r="PA14" i="3"/>
  <c r="OY14" i="3"/>
  <c r="OT14" i="3"/>
  <c r="OV14" i="3" s="1"/>
  <c r="OP14" i="3"/>
  <c r="OK14" i="3"/>
  <c r="OG14" i="3"/>
  <c r="OM14" i="3" s="1"/>
  <c r="OD14" i="3"/>
  <c r="OB14" i="3"/>
  <c r="NX14" i="3"/>
  <c r="NU14" i="3"/>
  <c r="NS14" i="3"/>
  <c r="NO14" i="3"/>
  <c r="NJ14" i="3"/>
  <c r="NF14" i="3"/>
  <c r="NB14" i="3"/>
  <c r="NL14" i="3" s="1"/>
  <c r="MW14" i="3"/>
  <c r="MS14" i="3"/>
  <c r="MO14" i="3"/>
  <c r="MY14" i="3" s="1"/>
  <c r="MJ14" i="3"/>
  <c r="MF14" i="3"/>
  <c r="MB14" i="3"/>
  <c r="LW14" i="3"/>
  <c r="LS14" i="3"/>
  <c r="LO14" i="3"/>
  <c r="LY14" i="3" s="1"/>
  <c r="LJ14" i="3"/>
  <c r="LF14" i="3"/>
  <c r="LB14" i="3"/>
  <c r="KW14" i="3"/>
  <c r="KY14" i="3" s="1"/>
  <c r="KR14" i="3"/>
  <c r="KN14" i="3"/>
  <c r="KJ14" i="3"/>
  <c r="KF14" i="3"/>
  <c r="KT14" i="3" s="1"/>
  <c r="KB14" i="3"/>
  <c r="JX14" i="3"/>
  <c r="JS14" i="3"/>
  <c r="JO14" i="3"/>
  <c r="JK14" i="3"/>
  <c r="JG14" i="3"/>
  <c r="JC14" i="3"/>
  <c r="IY14" i="3"/>
  <c r="IT14" i="3"/>
  <c r="IP14" i="3"/>
  <c r="IL14" i="3"/>
  <c r="IV14" i="3" s="1"/>
  <c r="IH14" i="3"/>
  <c r="ID14" i="3"/>
  <c r="HZ14" i="3"/>
  <c r="HU14" i="3"/>
  <c r="HQ14" i="3"/>
  <c r="HM14" i="3"/>
  <c r="HI14" i="3"/>
  <c r="HE14" i="3"/>
  <c r="HA14" i="3"/>
  <c r="GX14" i="3"/>
  <c r="GV14" i="3"/>
  <c r="GR14" i="3"/>
  <c r="GN14" i="3"/>
  <c r="GJ14" i="3"/>
  <c r="GE14" i="3"/>
  <c r="GA14" i="3"/>
  <c r="FW14" i="3"/>
  <c r="FS14" i="3"/>
  <c r="Q14" i="3"/>
  <c r="M14" i="3"/>
  <c r="H14" i="3"/>
  <c r="D14" i="3"/>
  <c r="QI13" i="3"/>
  <c r="QG13" i="3"/>
  <c r="QD13" i="3"/>
  <c r="QB13" i="3"/>
  <c r="PW13" i="3"/>
  <c r="PY13" i="3" s="1"/>
  <c r="PT13" i="3"/>
  <c r="PR13" i="3"/>
  <c r="PM13" i="3"/>
  <c r="PI13" i="3"/>
  <c r="PO13" i="3" s="1"/>
  <c r="PF13" i="3"/>
  <c r="PD13" i="3"/>
  <c r="OY13" i="3"/>
  <c r="PA13" i="3" s="1"/>
  <c r="OT13" i="3"/>
  <c r="OV13" i="3" s="1"/>
  <c r="OP13" i="3"/>
  <c r="OK13" i="3"/>
  <c r="OM13" i="3" s="1"/>
  <c r="OG13" i="3"/>
  <c r="OB13" i="3"/>
  <c r="NX13" i="3"/>
  <c r="OD13" i="3" s="1"/>
  <c r="NS13" i="3"/>
  <c r="NO13" i="3"/>
  <c r="NU13" i="3" s="1"/>
  <c r="NL13" i="3"/>
  <c r="NJ13" i="3"/>
  <c r="NF13" i="3"/>
  <c r="NB13" i="3"/>
  <c r="MW13" i="3"/>
  <c r="MS13" i="3"/>
  <c r="MO13" i="3"/>
  <c r="MY13" i="3" s="1"/>
  <c r="ML13" i="3"/>
  <c r="MJ13" i="3"/>
  <c r="MF13" i="3"/>
  <c r="MB13" i="3"/>
  <c r="LW13" i="3"/>
  <c r="LS13" i="3"/>
  <c r="LO13" i="3"/>
  <c r="LY13" i="3" s="1"/>
  <c r="LL13" i="3"/>
  <c r="LJ13" i="3"/>
  <c r="LF13" i="3"/>
  <c r="LB13" i="3"/>
  <c r="KW13" i="3"/>
  <c r="KY13" i="3" s="1"/>
  <c r="KR13" i="3"/>
  <c r="KN13" i="3"/>
  <c r="KJ13" i="3"/>
  <c r="KF13" i="3"/>
  <c r="KB13" i="3"/>
  <c r="JX13" i="3"/>
  <c r="JS13" i="3"/>
  <c r="JO13" i="3"/>
  <c r="JK13" i="3"/>
  <c r="JU13" i="3" s="1"/>
  <c r="JG13" i="3"/>
  <c r="JC13" i="3"/>
  <c r="IY13" i="3"/>
  <c r="IT13" i="3"/>
  <c r="IP13" i="3"/>
  <c r="IL13" i="3"/>
  <c r="IH13" i="3"/>
  <c r="IV13" i="3" s="1"/>
  <c r="ID13" i="3"/>
  <c r="HZ13" i="3"/>
  <c r="HU13" i="3"/>
  <c r="HQ13" i="3"/>
  <c r="HM13" i="3"/>
  <c r="HI13" i="3"/>
  <c r="HE13" i="3"/>
  <c r="HA13" i="3"/>
  <c r="GV13" i="3"/>
  <c r="GR13" i="3"/>
  <c r="GN13" i="3"/>
  <c r="GX13" i="3" s="1"/>
  <c r="GJ13" i="3"/>
  <c r="GG13" i="3"/>
  <c r="GE13" i="3"/>
  <c r="GA13" i="3"/>
  <c r="FW13" i="3"/>
  <c r="FS13" i="3"/>
  <c r="Q13" i="3"/>
  <c r="M13" i="3"/>
  <c r="H13" i="3"/>
  <c r="D13" i="3"/>
  <c r="QG12" i="3"/>
  <c r="QI12" i="3" s="1"/>
  <c r="QD12" i="3"/>
  <c r="QB12" i="3"/>
  <c r="PY12" i="3"/>
  <c r="PW12" i="3"/>
  <c r="PT12" i="3"/>
  <c r="PR12" i="3"/>
  <c r="PM12" i="3"/>
  <c r="PO12" i="3" s="1"/>
  <c r="PI12" i="3"/>
  <c r="PD12" i="3"/>
  <c r="PF12" i="3" s="1"/>
  <c r="OY12" i="3"/>
  <c r="PA12" i="3" s="1"/>
  <c r="OT12" i="3"/>
  <c r="OP12" i="3"/>
  <c r="OK12" i="3"/>
  <c r="OG12" i="3"/>
  <c r="OM12" i="3" s="1"/>
  <c r="OB12" i="3"/>
  <c r="NX12" i="3"/>
  <c r="OD12" i="3" s="1"/>
  <c r="NS12" i="3"/>
  <c r="NU12" i="3" s="1"/>
  <c r="NO12" i="3"/>
  <c r="NJ12" i="3"/>
  <c r="NF12" i="3"/>
  <c r="NB12" i="3"/>
  <c r="NL12" i="3" s="1"/>
  <c r="MW12" i="3"/>
  <c r="MS12" i="3"/>
  <c r="MO12" i="3"/>
  <c r="MY12" i="3" s="1"/>
  <c r="MJ12" i="3"/>
  <c r="MF12" i="3"/>
  <c r="MB12" i="3"/>
  <c r="ML12" i="3" s="1"/>
  <c r="LW12" i="3"/>
  <c r="LS12" i="3"/>
  <c r="LO12" i="3"/>
  <c r="LJ12" i="3"/>
  <c r="LF12" i="3"/>
  <c r="LB12" i="3"/>
  <c r="LL12" i="3" s="1"/>
  <c r="KW12" i="3"/>
  <c r="KY12" i="3" s="1"/>
  <c r="KT12" i="3"/>
  <c r="KR12" i="3"/>
  <c r="KN12" i="3"/>
  <c r="KJ12" i="3"/>
  <c r="KF12" i="3"/>
  <c r="KB12" i="3"/>
  <c r="JX12" i="3"/>
  <c r="JU12" i="3"/>
  <c r="JS12" i="3"/>
  <c r="JO12" i="3"/>
  <c r="JK12" i="3"/>
  <c r="JG12" i="3"/>
  <c r="JC12" i="3"/>
  <c r="IY12" i="3"/>
  <c r="IT12" i="3"/>
  <c r="IP12" i="3"/>
  <c r="IL12" i="3"/>
  <c r="IH12" i="3"/>
  <c r="ID12" i="3"/>
  <c r="HZ12" i="3"/>
  <c r="HU12" i="3"/>
  <c r="HQ12" i="3"/>
  <c r="HM12" i="3"/>
  <c r="HW12" i="3" s="1"/>
  <c r="HI12" i="3"/>
  <c r="HE12" i="3"/>
  <c r="HA12" i="3"/>
  <c r="GV12" i="3"/>
  <c r="GR12" i="3"/>
  <c r="GN12" i="3"/>
  <c r="GJ12" i="3"/>
  <c r="GX12" i="3" s="1"/>
  <c r="GE12" i="3"/>
  <c r="GA12" i="3"/>
  <c r="FW12" i="3"/>
  <c r="FS12" i="3"/>
  <c r="GG12" i="3" s="1"/>
  <c r="Q12" i="3"/>
  <c r="M12" i="3"/>
  <c r="H12" i="3"/>
  <c r="D12" i="3"/>
  <c r="QI11" i="3"/>
  <c r="QG11" i="3"/>
  <c r="QD11" i="3"/>
  <c r="QB11" i="3"/>
  <c r="PY11" i="3"/>
  <c r="PW11" i="3"/>
  <c r="PT11" i="3"/>
  <c r="PR11" i="3"/>
  <c r="PM11" i="3"/>
  <c r="PI11" i="3"/>
  <c r="PO11" i="3" s="1"/>
  <c r="PD11" i="3"/>
  <c r="PF11" i="3" s="1"/>
  <c r="OY11" i="3"/>
  <c r="PA11" i="3" s="1"/>
  <c r="OV11" i="3"/>
  <c r="OT11" i="3"/>
  <c r="OP11" i="3"/>
  <c r="OM11" i="3"/>
  <c r="OK11" i="3"/>
  <c r="OG11" i="3"/>
  <c r="OB11" i="3"/>
  <c r="NX11" i="3"/>
  <c r="NS11" i="3"/>
  <c r="NO11" i="3"/>
  <c r="NU11" i="3" s="1"/>
  <c r="NJ11" i="3"/>
  <c r="NF11" i="3"/>
  <c r="NB11" i="3"/>
  <c r="NL11" i="3" s="1"/>
  <c r="MY11" i="3"/>
  <c r="MW11" i="3"/>
  <c r="MS11" i="3"/>
  <c r="MO11" i="3"/>
  <c r="MJ11" i="3"/>
  <c r="MF11" i="3"/>
  <c r="MB11" i="3"/>
  <c r="ML11" i="3" s="1"/>
  <c r="LY11" i="3"/>
  <c r="LW11" i="3"/>
  <c r="LS11" i="3"/>
  <c r="LO11" i="3"/>
  <c r="LJ11" i="3"/>
  <c r="LF11" i="3"/>
  <c r="LB11" i="3"/>
  <c r="LL11" i="3" s="1"/>
  <c r="KY11" i="3"/>
  <c r="KW11" i="3"/>
  <c r="KR11" i="3"/>
  <c r="KN11" i="3"/>
  <c r="KJ11" i="3"/>
  <c r="KF11" i="3"/>
  <c r="KB11" i="3"/>
  <c r="JX11" i="3"/>
  <c r="JS11" i="3"/>
  <c r="JO11" i="3"/>
  <c r="JK11" i="3"/>
  <c r="JG11" i="3"/>
  <c r="JU11" i="3" s="1"/>
  <c r="JC11" i="3"/>
  <c r="IY11" i="3"/>
  <c r="IV11" i="3"/>
  <c r="IT11" i="3"/>
  <c r="IP11" i="3"/>
  <c r="IL11" i="3"/>
  <c r="IH11" i="3"/>
  <c r="ID11" i="3"/>
  <c r="HZ11" i="3"/>
  <c r="HW11" i="3"/>
  <c r="HU11" i="3"/>
  <c r="HQ11" i="3"/>
  <c r="HM11" i="3"/>
  <c r="HI11" i="3"/>
  <c r="HE11" i="3"/>
  <c r="HA11" i="3"/>
  <c r="GV11" i="3"/>
  <c r="GR11" i="3"/>
  <c r="GN11" i="3"/>
  <c r="GJ11" i="3"/>
  <c r="GE11" i="3"/>
  <c r="GA11" i="3"/>
  <c r="FW11" i="3"/>
  <c r="FS11" i="3"/>
  <c r="GG11" i="3" s="1"/>
  <c r="Q11" i="3"/>
  <c r="M11" i="3"/>
  <c r="H11" i="3"/>
  <c r="D11" i="3"/>
  <c r="QI10" i="3"/>
  <c r="QG10" i="3"/>
  <c r="QB10" i="3"/>
  <c r="QD10" i="3" s="1"/>
  <c r="PY10" i="3"/>
  <c r="PW10" i="3"/>
  <c r="PT10" i="3"/>
  <c r="PR10" i="3"/>
  <c r="PO10" i="3"/>
  <c r="PM10" i="3"/>
  <c r="PI10" i="3"/>
  <c r="PD10" i="3"/>
  <c r="PF10" i="3" s="1"/>
  <c r="PA10" i="3"/>
  <c r="OY10" i="3"/>
  <c r="OT10" i="3"/>
  <c r="OV10" i="3" s="1"/>
  <c r="OP10" i="3"/>
  <c r="OK10" i="3"/>
  <c r="OG10" i="3"/>
  <c r="OM10" i="3" s="1"/>
  <c r="OD10" i="3"/>
  <c r="OB10" i="3"/>
  <c r="NX10" i="3"/>
  <c r="NU10" i="3"/>
  <c r="NS10" i="3"/>
  <c r="NO10" i="3"/>
  <c r="NJ10" i="3"/>
  <c r="NF10" i="3"/>
  <c r="NL10" i="3" s="1"/>
  <c r="NB10" i="3"/>
  <c r="MW10" i="3"/>
  <c r="MS10" i="3"/>
  <c r="MO10" i="3"/>
  <c r="MY10" i="3" s="1"/>
  <c r="MJ10" i="3"/>
  <c r="MF10" i="3"/>
  <c r="ML10" i="3" s="1"/>
  <c r="MB10" i="3"/>
  <c r="LW10" i="3"/>
  <c r="LS10" i="3"/>
  <c r="LO10" i="3"/>
  <c r="LY10" i="3" s="1"/>
  <c r="LJ10" i="3"/>
  <c r="LL10" i="3" s="1"/>
  <c r="LF10" i="3"/>
  <c r="LB10" i="3"/>
  <c r="KW10" i="3"/>
  <c r="KY10" i="3" s="1"/>
  <c r="KR10" i="3"/>
  <c r="KN10" i="3"/>
  <c r="KJ10" i="3"/>
  <c r="KF10" i="3"/>
  <c r="KB10" i="3"/>
  <c r="JX10" i="3"/>
  <c r="JS10" i="3"/>
  <c r="JO10" i="3"/>
  <c r="JK10" i="3"/>
  <c r="JG10" i="3"/>
  <c r="JC10" i="3"/>
  <c r="IY10" i="3"/>
  <c r="IT10" i="3"/>
  <c r="IP10" i="3"/>
  <c r="IL10" i="3"/>
  <c r="IH10" i="3"/>
  <c r="ID10" i="3"/>
  <c r="HZ10" i="3"/>
  <c r="HU10" i="3"/>
  <c r="HQ10" i="3"/>
  <c r="HM10" i="3"/>
  <c r="HI10" i="3"/>
  <c r="HE10" i="3"/>
  <c r="HA10" i="3"/>
  <c r="GX10" i="3"/>
  <c r="GV10" i="3"/>
  <c r="GR10" i="3"/>
  <c r="GN10" i="3"/>
  <c r="GJ10" i="3"/>
  <c r="GE10" i="3"/>
  <c r="GA10" i="3"/>
  <c r="FW10" i="3"/>
  <c r="GG10" i="3" s="1"/>
  <c r="FS10" i="3"/>
  <c r="Q10" i="3"/>
  <c r="M10" i="3"/>
  <c r="H10" i="3"/>
  <c r="D10" i="3"/>
  <c r="QG9" i="3"/>
  <c r="QI9" i="3" s="1"/>
  <c r="QB9" i="3"/>
  <c r="QD9" i="3" s="1"/>
  <c r="PY9" i="3"/>
  <c r="PW9" i="3"/>
  <c r="PT9" i="3"/>
  <c r="PR9" i="3"/>
  <c r="PM9" i="3"/>
  <c r="PI9" i="3"/>
  <c r="PF9" i="3"/>
  <c r="PD9" i="3"/>
  <c r="OY9" i="3"/>
  <c r="PA9" i="3" s="1"/>
  <c r="OT9" i="3"/>
  <c r="OP9" i="3"/>
  <c r="OV9" i="3" s="1"/>
  <c r="OK9" i="3"/>
  <c r="OM9" i="3" s="1"/>
  <c r="OG9" i="3"/>
  <c r="OB9" i="3"/>
  <c r="NX9" i="3"/>
  <c r="OD9" i="3" s="1"/>
  <c r="NS9" i="3"/>
  <c r="NO9" i="3"/>
  <c r="NL9" i="3"/>
  <c r="NJ9" i="3"/>
  <c r="NF9" i="3"/>
  <c r="NB9" i="3"/>
  <c r="MW9" i="3"/>
  <c r="MS9" i="3"/>
  <c r="MO9" i="3"/>
  <c r="MY9" i="3" s="1"/>
  <c r="MJ9" i="3"/>
  <c r="MF9" i="3"/>
  <c r="MB9" i="3"/>
  <c r="ML9" i="3" s="1"/>
  <c r="LW9" i="3"/>
  <c r="LS9" i="3"/>
  <c r="LO9" i="3"/>
  <c r="LY9" i="3" s="1"/>
  <c r="LL9" i="3"/>
  <c r="LJ9" i="3"/>
  <c r="LF9" i="3"/>
  <c r="LB9" i="3"/>
  <c r="KW9" i="3"/>
  <c r="KY9" i="3" s="1"/>
  <c r="KR9" i="3"/>
  <c r="KN9" i="3"/>
  <c r="KT9" i="3" s="1"/>
  <c r="KJ9" i="3"/>
  <c r="KF9" i="3"/>
  <c r="KB9" i="3"/>
  <c r="JX9" i="3"/>
  <c r="JS9" i="3"/>
  <c r="JO9" i="3"/>
  <c r="JK9" i="3"/>
  <c r="JG9" i="3"/>
  <c r="JU9" i="3" s="1"/>
  <c r="JC9" i="3"/>
  <c r="IY9" i="3"/>
  <c r="IT9" i="3"/>
  <c r="IP9" i="3"/>
  <c r="IL9" i="3"/>
  <c r="IH9" i="3"/>
  <c r="ID9" i="3"/>
  <c r="HZ9" i="3"/>
  <c r="HW9" i="3"/>
  <c r="HU9" i="3"/>
  <c r="HQ9" i="3"/>
  <c r="HM9" i="3"/>
  <c r="HI9" i="3"/>
  <c r="HE9" i="3"/>
  <c r="HA9" i="3"/>
  <c r="GV9" i="3"/>
  <c r="GR9" i="3"/>
  <c r="GN9" i="3"/>
  <c r="GJ9" i="3"/>
  <c r="GE9" i="3"/>
  <c r="GA9" i="3"/>
  <c r="FW9" i="3"/>
  <c r="FS9" i="3"/>
  <c r="GG9" i="3" s="1"/>
  <c r="Q9" i="3"/>
  <c r="M9" i="3"/>
  <c r="H9" i="3"/>
  <c r="D9" i="3"/>
  <c r="QI8" i="3"/>
  <c r="QG8" i="3"/>
  <c r="QD8" i="3"/>
  <c r="QB8" i="3"/>
  <c r="PY8" i="3"/>
  <c r="PW8" i="3"/>
  <c r="PT8" i="3"/>
  <c r="PR8" i="3"/>
  <c r="PM8" i="3"/>
  <c r="PI8" i="3"/>
  <c r="PO8" i="3" s="1"/>
  <c r="PD8" i="3"/>
  <c r="PF8" i="3" s="1"/>
  <c r="OY8" i="3"/>
  <c r="PA8" i="3" s="1"/>
  <c r="OT8" i="3"/>
  <c r="OP8" i="3"/>
  <c r="OV8" i="3" s="1"/>
  <c r="OK8" i="3"/>
  <c r="OG8" i="3"/>
  <c r="OM8" i="3" s="1"/>
  <c r="OB8" i="3"/>
  <c r="NX8" i="3"/>
  <c r="OD8" i="3" s="1"/>
  <c r="NS8" i="3"/>
  <c r="NO8" i="3"/>
  <c r="NU8" i="3" s="1"/>
  <c r="NJ8" i="3"/>
  <c r="NF8" i="3"/>
  <c r="NB8" i="3"/>
  <c r="NL8" i="3" s="1"/>
  <c r="MW8" i="3"/>
  <c r="MY8" i="3" s="1"/>
  <c r="MS8" i="3"/>
  <c r="MO8" i="3"/>
  <c r="MJ8" i="3"/>
  <c r="MF8" i="3"/>
  <c r="MB8" i="3"/>
  <c r="LW8" i="3"/>
  <c r="LS8" i="3"/>
  <c r="LY8" i="3" s="1"/>
  <c r="LO8" i="3"/>
  <c r="LL8" i="3"/>
  <c r="LJ8" i="3"/>
  <c r="LF8" i="3"/>
  <c r="LB8" i="3"/>
  <c r="KW8" i="3"/>
  <c r="KY8" i="3" s="1"/>
  <c r="KT8" i="3"/>
  <c r="KR8" i="3"/>
  <c r="KN8" i="3"/>
  <c r="KJ8" i="3"/>
  <c r="KF8" i="3"/>
  <c r="KB8" i="3"/>
  <c r="JX8" i="3"/>
  <c r="JS8" i="3"/>
  <c r="JU8" i="3" s="1"/>
  <c r="JO8" i="3"/>
  <c r="JK8" i="3"/>
  <c r="JG8" i="3"/>
  <c r="JC8" i="3"/>
  <c r="IY8" i="3"/>
  <c r="IT8" i="3"/>
  <c r="IP8" i="3"/>
  <c r="IV8" i="3" s="1"/>
  <c r="IL8" i="3"/>
  <c r="IH8" i="3"/>
  <c r="ID8" i="3"/>
  <c r="HZ8" i="3"/>
  <c r="HU8" i="3"/>
  <c r="HQ8" i="3"/>
  <c r="HM8" i="3"/>
  <c r="HW8" i="3" s="1"/>
  <c r="HI8" i="3"/>
  <c r="HE8" i="3"/>
  <c r="HA8" i="3"/>
  <c r="GV8" i="3"/>
  <c r="GR8" i="3"/>
  <c r="GN8" i="3"/>
  <c r="GJ8" i="3"/>
  <c r="GX8" i="3" s="1"/>
  <c r="GE8" i="3"/>
  <c r="GA8" i="3"/>
  <c r="FW8" i="3"/>
  <c r="FS8" i="3"/>
  <c r="GG8" i="3" s="1"/>
  <c r="Q8" i="3"/>
  <c r="M8" i="3"/>
  <c r="H8" i="3"/>
  <c r="D8" i="3"/>
  <c r="QG7" i="3"/>
  <c r="QI7" i="3" s="1"/>
  <c r="QB7" i="3"/>
  <c r="QD7" i="3" s="1"/>
  <c r="PW7" i="3"/>
  <c r="PY7" i="3" s="1"/>
  <c r="PR7" i="3"/>
  <c r="PT7" i="3" s="1"/>
  <c r="PM7" i="3"/>
  <c r="PI7" i="3"/>
  <c r="PO7" i="3" s="1"/>
  <c r="PF7" i="3"/>
  <c r="PD7" i="3"/>
  <c r="OY7" i="3"/>
  <c r="PA7" i="3" s="1"/>
  <c r="OV7" i="3"/>
  <c r="OT7" i="3"/>
  <c r="OP7" i="3"/>
  <c r="OK7" i="3"/>
  <c r="OM7" i="3" s="1"/>
  <c r="OG7" i="3"/>
  <c r="OB7" i="3"/>
  <c r="NX7" i="3"/>
  <c r="OD7" i="3" s="1"/>
  <c r="NS7" i="3"/>
  <c r="NO7" i="3"/>
  <c r="NU7" i="3" s="1"/>
  <c r="NJ7" i="3"/>
  <c r="NF7" i="3"/>
  <c r="NB7" i="3"/>
  <c r="NL7" i="3" s="1"/>
  <c r="MY7" i="3"/>
  <c r="MW7" i="3"/>
  <c r="MS7" i="3"/>
  <c r="MO7" i="3"/>
  <c r="MJ7" i="3"/>
  <c r="MF7" i="3"/>
  <c r="MB7" i="3"/>
  <c r="ML7" i="3" s="1"/>
  <c r="LY7" i="3"/>
  <c r="LW7" i="3"/>
  <c r="LS7" i="3"/>
  <c r="LO7" i="3"/>
  <c r="LJ7" i="3"/>
  <c r="LF7" i="3"/>
  <c r="LB7" i="3"/>
  <c r="LL7" i="3" s="1"/>
  <c r="KY7" i="3"/>
  <c r="KW7" i="3"/>
  <c r="KR7" i="3"/>
  <c r="KN7" i="3"/>
  <c r="KJ7" i="3"/>
  <c r="KF7" i="3"/>
  <c r="KT7" i="3" s="1"/>
  <c r="KB7" i="3"/>
  <c r="JX7" i="3"/>
  <c r="JS7" i="3"/>
  <c r="JO7" i="3"/>
  <c r="JK7" i="3"/>
  <c r="JG7" i="3"/>
  <c r="JU7" i="3" s="1"/>
  <c r="JC7" i="3"/>
  <c r="IY7" i="3"/>
  <c r="IV7" i="3"/>
  <c r="IT7" i="3"/>
  <c r="IP7" i="3"/>
  <c r="IL7" i="3"/>
  <c r="IH7" i="3"/>
  <c r="ID7" i="3"/>
  <c r="HZ7" i="3"/>
  <c r="HU7" i="3"/>
  <c r="HW7" i="3" s="1"/>
  <c r="HQ7" i="3"/>
  <c r="HM7" i="3"/>
  <c r="HI7" i="3"/>
  <c r="HE7" i="3"/>
  <c r="HA7" i="3"/>
  <c r="GV7" i="3"/>
  <c r="GR7" i="3"/>
  <c r="GX7" i="3" s="1"/>
  <c r="GN7" i="3"/>
  <c r="GJ7" i="3"/>
  <c r="GE7" i="3"/>
  <c r="GA7" i="3"/>
  <c r="FW7" i="3"/>
  <c r="FS7" i="3"/>
  <c r="GG7" i="3" s="1"/>
  <c r="Q7" i="3"/>
  <c r="M7" i="3"/>
  <c r="H7" i="3"/>
  <c r="D7" i="3"/>
  <c r="QG6" i="3"/>
  <c r="QI6" i="3" s="1"/>
  <c r="QB6" i="3"/>
  <c r="QD6" i="3" s="1"/>
  <c r="PW6" i="3"/>
  <c r="PY6" i="3" s="1"/>
  <c r="PR6" i="3"/>
  <c r="PT6" i="3" s="1"/>
  <c r="PM6" i="3"/>
  <c r="PO6" i="3" s="1"/>
  <c r="PI6" i="3"/>
  <c r="PD6" i="3"/>
  <c r="PF6" i="3" s="1"/>
  <c r="PA6" i="3"/>
  <c r="OY6" i="3"/>
  <c r="OV6" i="3"/>
  <c r="OT6" i="3"/>
  <c r="OP6" i="3"/>
  <c r="OK6" i="3"/>
  <c r="OG6" i="3"/>
  <c r="OM6" i="3" s="1"/>
  <c r="OD6" i="3"/>
  <c r="OB6" i="3"/>
  <c r="NX6" i="3"/>
  <c r="NS6" i="3"/>
  <c r="NU6" i="3" s="1"/>
  <c r="NO6" i="3"/>
  <c r="NJ6" i="3"/>
  <c r="NF6" i="3"/>
  <c r="NL6" i="3" s="1"/>
  <c r="NB6" i="3"/>
  <c r="MY6" i="3"/>
  <c r="MW6" i="3"/>
  <c r="MS6" i="3"/>
  <c r="MO6" i="3"/>
  <c r="MJ6" i="3"/>
  <c r="MF6" i="3"/>
  <c r="ML6" i="3" s="1"/>
  <c r="MB6" i="3"/>
  <c r="LY6" i="3"/>
  <c r="LW6" i="3"/>
  <c r="LS6" i="3"/>
  <c r="LO6" i="3"/>
  <c r="LJ6" i="3"/>
  <c r="LF6" i="3"/>
  <c r="LL6" i="3" s="1"/>
  <c r="LB6" i="3"/>
  <c r="KY6" i="3"/>
  <c r="KW6" i="3"/>
  <c r="KR6" i="3"/>
  <c r="KN6" i="3"/>
  <c r="KJ6" i="3"/>
  <c r="KF6" i="3"/>
  <c r="KT6" i="3" s="1"/>
  <c r="KB6" i="3"/>
  <c r="JX6" i="3"/>
  <c r="JS6" i="3"/>
  <c r="JO6" i="3"/>
  <c r="JK6" i="3"/>
  <c r="JG6" i="3"/>
  <c r="JU6" i="3" s="1"/>
  <c r="JC6" i="3"/>
  <c r="IY6" i="3"/>
  <c r="IT6" i="3"/>
  <c r="IP6" i="3"/>
  <c r="IL6" i="3"/>
  <c r="IH6" i="3"/>
  <c r="IV6" i="3" s="1"/>
  <c r="ID6" i="3"/>
  <c r="HZ6" i="3"/>
  <c r="HU6" i="3"/>
  <c r="HQ6" i="3"/>
  <c r="HM6" i="3"/>
  <c r="HW6" i="3" s="1"/>
  <c r="HI6" i="3"/>
  <c r="HE6" i="3"/>
  <c r="HA6" i="3"/>
  <c r="GX6" i="3"/>
  <c r="GV6" i="3"/>
  <c r="GR6" i="3"/>
  <c r="GN6" i="3"/>
  <c r="GJ6" i="3"/>
  <c r="GE6" i="3"/>
  <c r="GA6" i="3"/>
  <c r="FW6" i="3"/>
  <c r="FS6" i="3"/>
  <c r="GG6" i="3" s="1"/>
  <c r="Q6" i="3"/>
  <c r="M6" i="3"/>
  <c r="H6" i="3"/>
  <c r="D6" i="3"/>
  <c r="QG5" i="3"/>
  <c r="QI5" i="3" s="1"/>
  <c r="QB5" i="3"/>
  <c r="QD5" i="3" s="1"/>
  <c r="PW5" i="3"/>
  <c r="PY5" i="3" s="1"/>
  <c r="PR5" i="3"/>
  <c r="PT5" i="3" s="1"/>
  <c r="PM5" i="3"/>
  <c r="PI5" i="3"/>
  <c r="PO5" i="3" s="1"/>
  <c r="PF5" i="3"/>
  <c r="PD5" i="3"/>
  <c r="PA5" i="3"/>
  <c r="OY5" i="3"/>
  <c r="OT5" i="3"/>
  <c r="OP5" i="3"/>
  <c r="OV5" i="3" s="1"/>
  <c r="OK5" i="3"/>
  <c r="OM5" i="3" s="1"/>
  <c r="OG5" i="3"/>
  <c r="OD5" i="3"/>
  <c r="OB5" i="3"/>
  <c r="NX5" i="3"/>
  <c r="NS5" i="3"/>
  <c r="NO5" i="3"/>
  <c r="NU5" i="3" s="1"/>
  <c r="NL5" i="3"/>
  <c r="NJ5" i="3"/>
  <c r="NF5" i="3"/>
  <c r="NB5" i="3"/>
  <c r="MW5" i="3"/>
  <c r="MS5" i="3"/>
  <c r="MO5" i="3"/>
  <c r="MY5" i="3" s="1"/>
  <c r="ML5" i="3"/>
  <c r="MJ5" i="3"/>
  <c r="MF5" i="3"/>
  <c r="MB5" i="3"/>
  <c r="LW5" i="3"/>
  <c r="LS5" i="3"/>
  <c r="LO5" i="3"/>
  <c r="LY5" i="3" s="1"/>
  <c r="LL5" i="3"/>
  <c r="LJ5" i="3"/>
  <c r="LF5" i="3"/>
  <c r="LB5" i="3"/>
  <c r="KY5" i="3"/>
  <c r="KW5" i="3"/>
  <c r="KR5" i="3"/>
  <c r="KN5" i="3"/>
  <c r="KT5" i="3" s="1"/>
  <c r="KJ5" i="3"/>
  <c r="KF5" i="3"/>
  <c r="KB5" i="3"/>
  <c r="JX5" i="3"/>
  <c r="JS5" i="3"/>
  <c r="JO5" i="3"/>
  <c r="JK5" i="3"/>
  <c r="JG5" i="3"/>
  <c r="JU5" i="3" s="1"/>
  <c r="JC5" i="3"/>
  <c r="IY5" i="3"/>
  <c r="IT5" i="3"/>
  <c r="IP5" i="3"/>
  <c r="IL5" i="3"/>
  <c r="IH5" i="3"/>
  <c r="IV5" i="3" s="1"/>
  <c r="ID5" i="3"/>
  <c r="HZ5" i="3"/>
  <c r="HU5" i="3"/>
  <c r="HQ5" i="3"/>
  <c r="HM5" i="3"/>
  <c r="HI5" i="3"/>
  <c r="HW5" i="3" s="1"/>
  <c r="HE5" i="3"/>
  <c r="HA5" i="3"/>
  <c r="GV5" i="3"/>
  <c r="GR5" i="3"/>
  <c r="GN5" i="3"/>
  <c r="GJ5" i="3"/>
  <c r="GX5" i="3" s="1"/>
  <c r="GE5" i="3"/>
  <c r="GG5" i="3" s="1"/>
  <c r="GA5" i="3"/>
  <c r="FW5" i="3"/>
  <c r="FS5" i="3"/>
  <c r="M5" i="3"/>
  <c r="H5" i="3"/>
  <c r="D5" i="3"/>
  <c r="QG4" i="3"/>
  <c r="QI4" i="3" s="1"/>
  <c r="QB4" i="3"/>
  <c r="QD4" i="3" s="1"/>
  <c r="PW4" i="3"/>
  <c r="PY4" i="3" s="1"/>
  <c r="PR4" i="3"/>
  <c r="PT4" i="3" s="1"/>
  <c r="PM4" i="3"/>
  <c r="PO4" i="3" s="1"/>
  <c r="PI4" i="3"/>
  <c r="PF4" i="3"/>
  <c r="PD4" i="3"/>
  <c r="PA4" i="3"/>
  <c r="OY4" i="3"/>
  <c r="OT4" i="3"/>
  <c r="OP4" i="3"/>
  <c r="OV4" i="3" s="1"/>
  <c r="OK4" i="3"/>
  <c r="OG4" i="3"/>
  <c r="OM4" i="3" s="1"/>
  <c r="OB4" i="3"/>
  <c r="NX4" i="3"/>
  <c r="OD4" i="3" s="1"/>
  <c r="NS4" i="3"/>
  <c r="NU4" i="3" s="1"/>
  <c r="NO4" i="3"/>
  <c r="NL4" i="3"/>
  <c r="NJ4" i="3"/>
  <c r="NF4" i="3"/>
  <c r="NB4" i="3"/>
  <c r="MW4" i="3"/>
  <c r="MS4" i="3"/>
  <c r="MY4" i="3" s="1"/>
  <c r="MO4" i="3"/>
  <c r="ML4" i="3"/>
  <c r="MJ4" i="3"/>
  <c r="MF4" i="3"/>
  <c r="MB4" i="3"/>
  <c r="LW4" i="3"/>
  <c r="LS4" i="3"/>
  <c r="LY4" i="3" s="1"/>
  <c r="LO4" i="3"/>
  <c r="LL4" i="3"/>
  <c r="LJ4" i="3"/>
  <c r="LF4" i="3"/>
  <c r="LB4" i="3"/>
  <c r="KW4" i="3"/>
  <c r="KY4" i="3" s="1"/>
  <c r="KT4" i="3"/>
  <c r="KR4" i="3"/>
  <c r="KN4" i="3"/>
  <c r="KJ4" i="3"/>
  <c r="KF4" i="3"/>
  <c r="KB4" i="3"/>
  <c r="JX4" i="3"/>
  <c r="JS4" i="3"/>
  <c r="JU4" i="3" s="1"/>
  <c r="JO4" i="3"/>
  <c r="JK4" i="3"/>
  <c r="JG4" i="3"/>
  <c r="JC4" i="3"/>
  <c r="IY4" i="3"/>
  <c r="IT4" i="3"/>
  <c r="IP4" i="3"/>
  <c r="IV4" i="3" s="1"/>
  <c r="IL4" i="3"/>
  <c r="IH4" i="3"/>
  <c r="ID4" i="3"/>
  <c r="HZ4" i="3"/>
  <c r="HU4" i="3"/>
  <c r="HQ4" i="3"/>
  <c r="HM4" i="3"/>
  <c r="HI4" i="3"/>
  <c r="HW4" i="3" s="1"/>
  <c r="HE4" i="3"/>
  <c r="HA4" i="3"/>
  <c r="GV4" i="3"/>
  <c r="GR4" i="3"/>
  <c r="GN4" i="3"/>
  <c r="GJ4" i="3"/>
  <c r="GX4" i="3" s="1"/>
  <c r="GE4" i="3"/>
  <c r="GA4" i="3"/>
  <c r="FW4" i="3"/>
  <c r="FS4" i="3"/>
  <c r="GG4" i="3" s="1"/>
  <c r="M4" i="3"/>
  <c r="H4" i="3"/>
  <c r="D4" i="3"/>
  <c r="FP31" i="3" l="1"/>
  <c r="FP23" i="3"/>
  <c r="FP19" i="3"/>
  <c r="FP10" i="3"/>
  <c r="FP24" i="3"/>
  <c r="FP30" i="3"/>
  <c r="FP15" i="3"/>
  <c r="FP13" i="3"/>
  <c r="FP25" i="3"/>
  <c r="FP26" i="3"/>
  <c r="FP33" i="3"/>
  <c r="FP32" i="3"/>
  <c r="FP11" i="3"/>
  <c r="FP34" i="3"/>
  <c r="FP18" i="3"/>
  <c r="FP12" i="3"/>
  <c r="FP28" i="3"/>
  <c r="FP20" i="3"/>
  <c r="FP6" i="3"/>
  <c r="FP14" i="3"/>
  <c r="FP4" i="3"/>
  <c r="FP29" i="3"/>
  <c r="FP8" i="3"/>
  <c r="FP22" i="3"/>
  <c r="FP35" i="3"/>
  <c r="FP27" i="3"/>
  <c r="FP16" i="3"/>
  <c r="FP5" i="3"/>
  <c r="FP17" i="3"/>
  <c r="FP21" i="3"/>
  <c r="FP7" i="3"/>
  <c r="EY30" i="3"/>
  <c r="EY24" i="3"/>
  <c r="EY19" i="3"/>
  <c r="EY26" i="3"/>
  <c r="EY13" i="3"/>
  <c r="EY25" i="3"/>
  <c r="EY10" i="3"/>
  <c r="EY15" i="3"/>
  <c r="EY20" i="3"/>
  <c r="EY9" i="3"/>
  <c r="EY18" i="3"/>
  <c r="EY12" i="3"/>
  <c r="EY14" i="3"/>
  <c r="EY6" i="3"/>
  <c r="EY33" i="3"/>
  <c r="EY22" i="3"/>
  <c r="EY16" i="3"/>
  <c r="EY11" i="3"/>
  <c r="EY29" i="3"/>
  <c r="EY4" i="3"/>
  <c r="EY8" i="3"/>
  <c r="EY17" i="3"/>
  <c r="EY21" i="3"/>
  <c r="EY7" i="3"/>
  <c r="EH30" i="3"/>
  <c r="EH24" i="3"/>
  <c r="EH23" i="3"/>
  <c r="EH25" i="3"/>
  <c r="EH12" i="3"/>
  <c r="EH19" i="3"/>
  <c r="EH18" i="3"/>
  <c r="EH9" i="3"/>
  <c r="EH32" i="3"/>
  <c r="EH8" i="3"/>
  <c r="EH35" i="3"/>
  <c r="EH33" i="3"/>
  <c r="EH4" i="3"/>
  <c r="EH20" i="3"/>
  <c r="EH28" i="3"/>
  <c r="EH16" i="3"/>
  <c r="EH15" i="3"/>
  <c r="EH17" i="3"/>
  <c r="EH11" i="3"/>
  <c r="EH22" i="3"/>
  <c r="EH29" i="3"/>
  <c r="EH27" i="3"/>
  <c r="EH5" i="3"/>
  <c r="EH6" i="3"/>
  <c r="DQ19" i="3"/>
  <c r="DQ33" i="3"/>
  <c r="DQ14" i="3"/>
  <c r="DQ13" i="3"/>
  <c r="DQ30" i="3"/>
  <c r="DQ24" i="3"/>
  <c r="DQ23" i="3"/>
  <c r="DQ32" i="3"/>
  <c r="DQ25" i="3"/>
  <c r="DQ9" i="3"/>
  <c r="DQ4" i="3"/>
  <c r="DQ26" i="3"/>
  <c r="DQ10" i="3"/>
  <c r="DQ6" i="3"/>
  <c r="DQ11" i="3"/>
  <c r="DQ7" i="3"/>
  <c r="DQ22" i="3"/>
  <c r="DQ12" i="3"/>
  <c r="DQ34" i="3"/>
  <c r="DQ17" i="3"/>
  <c r="DQ27" i="3"/>
  <c r="DQ15" i="3"/>
  <c r="DQ29" i="3"/>
  <c r="DQ8" i="3"/>
  <c r="DQ5" i="3"/>
  <c r="DQ35" i="3"/>
  <c r="CZ24" i="3"/>
  <c r="CZ25" i="3"/>
  <c r="CZ30" i="3"/>
  <c r="CZ23" i="3"/>
  <c r="CZ9" i="3"/>
  <c r="CZ19" i="3"/>
  <c r="CZ21" i="3"/>
  <c r="CZ28" i="3"/>
  <c r="CZ34" i="3"/>
  <c r="CZ12" i="3"/>
  <c r="CZ33" i="3"/>
  <c r="CZ10" i="3"/>
  <c r="CZ13" i="3"/>
  <c r="CZ7" i="3"/>
  <c r="CZ15" i="3"/>
  <c r="CZ16" i="3"/>
  <c r="CZ4" i="3"/>
  <c r="CZ32" i="3"/>
  <c r="CZ11" i="3"/>
  <c r="CZ22" i="3"/>
  <c r="CZ8" i="3"/>
  <c r="CZ26" i="3"/>
  <c r="CZ5" i="3"/>
  <c r="CZ20" i="3"/>
  <c r="CZ29" i="3"/>
  <c r="CZ17" i="3"/>
  <c r="CZ6" i="3"/>
  <c r="CI24" i="3"/>
  <c r="CI31" i="3"/>
  <c r="CI14" i="3"/>
  <c r="CI12" i="3"/>
  <c r="CI21" i="3"/>
  <c r="CI19" i="3"/>
  <c r="CI18" i="3"/>
  <c r="CI15" i="3"/>
  <c r="CI13" i="3"/>
  <c r="CI23" i="3"/>
  <c r="CI28" i="3"/>
  <c r="CI26" i="3"/>
  <c r="CI7" i="3"/>
  <c r="CI34" i="3"/>
  <c r="CI4" i="3"/>
  <c r="CI6" i="3"/>
  <c r="CI10" i="3"/>
  <c r="CI11" i="3"/>
  <c r="CI32" i="3"/>
  <c r="CI17" i="3"/>
  <c r="CI8" i="3"/>
  <c r="CI27" i="3"/>
  <c r="CI5" i="3"/>
  <c r="CI16" i="3"/>
  <c r="CI35" i="3"/>
  <c r="BR18" i="3"/>
  <c r="BR21" i="3"/>
  <c r="BR30" i="3"/>
  <c r="BR15" i="3"/>
  <c r="BR31" i="3"/>
  <c r="BR14" i="3"/>
  <c r="BR13" i="3"/>
  <c r="BR19" i="3"/>
  <c r="BR33" i="3"/>
  <c r="BR32" i="3"/>
  <c r="BR4" i="3"/>
  <c r="BR26" i="3"/>
  <c r="BR23" i="3"/>
  <c r="BR22" i="3"/>
  <c r="BR9" i="3"/>
  <c r="BR6" i="3"/>
  <c r="BR12" i="3"/>
  <c r="BR10" i="3"/>
  <c r="BR7" i="3"/>
  <c r="BR27" i="3"/>
  <c r="BR8" i="3"/>
  <c r="BR35" i="3"/>
  <c r="BR11" i="3"/>
  <c r="BR29" i="3"/>
  <c r="BR5" i="3"/>
  <c r="BR17" i="3"/>
  <c r="BA28" i="3"/>
  <c r="BA11" i="3"/>
  <c r="BA7" i="3"/>
  <c r="BA12" i="3"/>
  <c r="BA4" i="3"/>
  <c r="BA30" i="3"/>
  <c r="BA31" i="3"/>
  <c r="BA25" i="3"/>
  <c r="BA29" i="3"/>
  <c r="BA32" i="3"/>
  <c r="BA8" i="3"/>
  <c r="BA16" i="3"/>
  <c r="BA23" i="3"/>
  <c r="BA35" i="3"/>
  <c r="BA6" i="3"/>
  <c r="BA15" i="3"/>
  <c r="BA17" i="3"/>
  <c r="BA20" i="3"/>
  <c r="BA19" i="3"/>
  <c r="BA24" i="3"/>
  <c r="BA33" i="3"/>
  <c r="BA21" i="3"/>
  <c r="BA13" i="3"/>
  <c r="BA9" i="3"/>
  <c r="BA5" i="3"/>
  <c r="BA18" i="3"/>
  <c r="S33" i="3"/>
  <c r="S4" i="3"/>
  <c r="S29" i="3"/>
  <c r="S17" i="3"/>
  <c r="S9" i="3"/>
  <c r="S10" i="3"/>
  <c r="S16" i="3"/>
  <c r="S31" i="3"/>
  <c r="S7" i="3"/>
  <c r="S24" i="3"/>
  <c r="S27" i="3"/>
  <c r="S19" i="3"/>
  <c r="S23" i="3"/>
  <c r="S25" i="3"/>
  <c r="S35" i="3"/>
  <c r="S13" i="3"/>
  <c r="S20" i="3"/>
  <c r="S32" i="3"/>
  <c r="S12" i="3"/>
  <c r="S15" i="3"/>
  <c r="S21" i="3"/>
  <c r="S28" i="3"/>
  <c r="S18" i="3"/>
  <c r="S34" i="3"/>
  <c r="S6" i="3"/>
  <c r="S8" i="3"/>
  <c r="S14" i="3"/>
  <c r="S22" i="3"/>
  <c r="S26" i="3"/>
  <c r="S30" i="3"/>
  <c r="J10" i="3"/>
  <c r="J13" i="3"/>
  <c r="J25" i="3"/>
  <c r="J5" i="3"/>
  <c r="J6" i="3"/>
  <c r="J7" i="3"/>
  <c r="J8" i="3"/>
  <c r="J14" i="3"/>
  <c r="J15" i="3"/>
  <c r="J20" i="3"/>
  <c r="J4" i="3"/>
  <c r="J21" i="3"/>
  <c r="J22" i="3"/>
  <c r="J26" i="3"/>
  <c r="J33" i="3"/>
  <c r="J11" i="3"/>
  <c r="J35" i="3"/>
  <c r="J16" i="3"/>
  <c r="J18" i="3"/>
  <c r="J19" i="3"/>
  <c r="J32" i="3"/>
  <c r="J27" i="3"/>
  <c r="J29" i="3"/>
  <c r="J24" i="3"/>
  <c r="J28" i="3"/>
  <c r="J23" i="3"/>
  <c r="J17" i="3"/>
  <c r="IV10" i="3"/>
  <c r="ML8" i="3"/>
  <c r="IV9" i="3"/>
  <c r="PO9" i="3"/>
  <c r="EH10" i="3"/>
  <c r="HW10" i="3"/>
  <c r="J12" i="3"/>
  <c r="HW13" i="3"/>
  <c r="BA14" i="3"/>
  <c r="JU14" i="3"/>
  <c r="LY16" i="3"/>
  <c r="KT17" i="3"/>
  <c r="GG18" i="3"/>
  <c r="CI20" i="3"/>
  <c r="CZ27" i="3"/>
  <c r="HW17" i="3"/>
  <c r="GX11" i="3"/>
  <c r="LY12" i="3"/>
  <c r="EH13" i="3"/>
  <c r="ML14" i="3"/>
  <c r="GX15" i="3"/>
  <c r="IV18" i="3"/>
  <c r="JU18" i="3"/>
  <c r="J9" i="3"/>
  <c r="FP9" i="3"/>
  <c r="KT10" i="3"/>
  <c r="KT13" i="3"/>
  <c r="GG14" i="3"/>
  <c r="DQ16" i="3"/>
  <c r="IV16" i="3"/>
  <c r="CZ18" i="3"/>
  <c r="JU34" i="3"/>
  <c r="CI9" i="3"/>
  <c r="BA10" i="3"/>
  <c r="IV12" i="3"/>
  <c r="LL14" i="3"/>
  <c r="JU19" i="3"/>
  <c r="GX9" i="3"/>
  <c r="NU9" i="3"/>
  <c r="JU10" i="3"/>
  <c r="S11" i="3"/>
  <c r="KT11" i="3"/>
  <c r="OD11" i="3"/>
  <c r="OV12" i="3"/>
  <c r="CZ14" i="3"/>
  <c r="EH14" i="3"/>
  <c r="HW14" i="3"/>
  <c r="KT15" i="3"/>
  <c r="OD15" i="3"/>
  <c r="BR16" i="3"/>
  <c r="IV17" i="3"/>
  <c r="KT18" i="3"/>
  <c r="ML19" i="3"/>
  <c r="KT19" i="3"/>
  <c r="BR20" i="3"/>
  <c r="MY21" i="3"/>
  <c r="GG22" i="3"/>
  <c r="JU22" i="3"/>
  <c r="CI25" i="3"/>
  <c r="NU25" i="3"/>
  <c r="JU26" i="3"/>
  <c r="BA27" i="3"/>
  <c r="ML27" i="3"/>
  <c r="EY28" i="3"/>
  <c r="CI29" i="3"/>
  <c r="CI30" i="3"/>
  <c r="EY31" i="3"/>
  <c r="EY32" i="3"/>
  <c r="CI33" i="3"/>
  <c r="NU33" i="3"/>
  <c r="GG34" i="3"/>
  <c r="EY35" i="3"/>
  <c r="JU21" i="3"/>
  <c r="BR24" i="3"/>
  <c r="GG26" i="3"/>
  <c r="IV34" i="3"/>
  <c r="JU35" i="3"/>
  <c r="HW20" i="3"/>
  <c r="IV22" i="3"/>
  <c r="JU25" i="3"/>
  <c r="LY25" i="3"/>
  <c r="IV26" i="3"/>
  <c r="BR28" i="3"/>
  <c r="JU29" i="3"/>
  <c r="MY29" i="3"/>
  <c r="GG30" i="3"/>
  <c r="LY33" i="3"/>
  <c r="EY23" i="3"/>
  <c r="HW24" i="3"/>
  <c r="EY27" i="3"/>
  <c r="LY29" i="3"/>
  <c r="IV30" i="3"/>
  <c r="NL31" i="3"/>
  <c r="NL35" i="3"/>
  <c r="GX20" i="3"/>
  <c r="BA22" i="3"/>
  <c r="JU23" i="3"/>
  <c r="IV25" i="3"/>
  <c r="EH26" i="3"/>
  <c r="JU27" i="3"/>
  <c r="HW28" i="3"/>
  <c r="IV29" i="3"/>
  <c r="CZ31" i="3"/>
  <c r="HW32" i="3"/>
  <c r="EH34" i="3"/>
  <c r="CZ35" i="3"/>
  <c r="DQ20" i="3"/>
  <c r="HW21" i="3"/>
  <c r="CI22" i="3"/>
  <c r="GX24" i="3"/>
  <c r="BA26" i="3"/>
  <c r="OM26" i="3"/>
  <c r="PO29" i="3"/>
  <c r="LL31" i="3"/>
  <c r="HW33" i="3"/>
  <c r="PO33" i="3"/>
  <c r="BA34" i="3"/>
  <c r="KT34" i="3"/>
  <c r="LL35" i="3"/>
  <c r="F4" i="4" l="1"/>
  <c r="F5" i="4"/>
  <c r="F32" i="4"/>
  <c r="F17" i="4"/>
  <c r="F13" i="4"/>
  <c r="F19" i="4"/>
  <c r="F21" i="4"/>
  <c r="F16" i="4"/>
  <c r="F6" i="4"/>
  <c r="F7" i="4"/>
  <c r="F22" i="4"/>
  <c r="F23" i="4"/>
  <c r="F10" i="4"/>
  <c r="F28" i="4"/>
  <c r="F20" i="4"/>
  <c r="F15" i="4"/>
  <c r="F25" i="4"/>
  <c r="F8" i="4"/>
  <c r="F31" i="4"/>
  <c r="F29" i="4"/>
  <c r="F30" i="4"/>
  <c r="F18" i="4"/>
  <c r="F35" i="4"/>
  <c r="F34" i="4"/>
  <c r="F14" i="4"/>
  <c r="F27" i="4"/>
  <c r="F26" i="4"/>
  <c r="F11" i="4"/>
  <c r="F24" i="4"/>
  <c r="F33" i="4"/>
  <c r="F9" i="4"/>
  <c r="F12" i="4"/>
  <c r="K4" i="4" l="1" a="1"/>
  <c r="L34" i="4" s="1"/>
  <c r="K23" i="4" l="1"/>
  <c r="K9" i="4"/>
  <c r="L35" i="4"/>
  <c r="L5" i="4"/>
  <c r="K8" i="4"/>
  <c r="L10" i="4"/>
  <c r="L12" i="4"/>
  <c r="L26" i="4"/>
  <c r="K4" i="4"/>
  <c r="K5" i="4"/>
  <c r="L6" i="4"/>
  <c r="L8" i="4"/>
  <c r="K10" i="4"/>
  <c r="K27" i="4"/>
  <c r="K12" i="4"/>
  <c r="K13" i="4"/>
  <c r="K14" i="4"/>
  <c r="K31" i="4"/>
  <c r="K16" i="4"/>
  <c r="K17" i="4"/>
  <c r="K18" i="4"/>
  <c r="L19" i="4"/>
  <c r="L20" i="4"/>
  <c r="L21" i="4"/>
  <c r="L22" i="4"/>
  <c r="L23" i="4"/>
  <c r="L24" i="4"/>
  <c r="L28" i="4"/>
  <c r="L30" i="4"/>
  <c r="K19" i="4"/>
  <c r="L4" i="4"/>
  <c r="K6" i="4"/>
  <c r="L7" i="4"/>
  <c r="L9" i="4"/>
  <c r="L11" i="4"/>
  <c r="L13" i="4"/>
  <c r="L14" i="4"/>
  <c r="L15" i="4"/>
  <c r="L16" i="4"/>
  <c r="L17" i="4"/>
  <c r="L18" i="4"/>
  <c r="K35" i="4"/>
  <c r="K20" i="4"/>
  <c r="K21" i="4"/>
  <c r="K22" i="4"/>
  <c r="K7" i="4"/>
  <c r="K24" i="4"/>
  <c r="K25" i="4"/>
  <c r="L25" i="4"/>
  <c r="K26" i="4"/>
  <c r="K11" i="4"/>
  <c r="L27" i="4"/>
  <c r="K28" i="4"/>
  <c r="K29" i="4"/>
  <c r="L29" i="4"/>
  <c r="K30" i="4"/>
  <c r="K15" i="4"/>
  <c r="L31" i="4"/>
  <c r="K32" i="4"/>
  <c r="L32" i="4"/>
  <c r="K33" i="4"/>
  <c r="L33" i="4"/>
  <c r="K34" i="4"/>
</calcChain>
</file>

<file path=xl/sharedStrings.xml><?xml version="1.0" encoding="utf-8"?>
<sst xmlns="http://schemas.openxmlformats.org/spreadsheetml/2006/main" count="864" uniqueCount="219">
  <si>
    <t>Participante</t>
  </si>
  <si>
    <t>Pago</t>
  </si>
  <si>
    <t>Michael Letrado</t>
  </si>
  <si>
    <t>OK</t>
  </si>
  <si>
    <t>Sergio Echeverria</t>
  </si>
  <si>
    <t>Gabriel Letrado</t>
  </si>
  <si>
    <t>Javier Adames</t>
  </si>
  <si>
    <t>Sebastian Rios</t>
  </si>
  <si>
    <t>Karen Vargas</t>
  </si>
  <si>
    <t>Monica Marin</t>
  </si>
  <si>
    <t>Cesar Letrado</t>
  </si>
  <si>
    <t>Kevin Ravelo</t>
  </si>
  <si>
    <t>Mateo Salamanca</t>
  </si>
  <si>
    <t>Esmeralda Rueda</t>
  </si>
  <si>
    <t>Julian Rodriguez</t>
  </si>
  <si>
    <t>Diego Marin</t>
  </si>
  <si>
    <t>Samuel Ramirez</t>
  </si>
  <si>
    <t>Cristian Godoy</t>
  </si>
  <si>
    <t>Peter Letrado</t>
  </si>
  <si>
    <t>Nicolas Letrado</t>
  </si>
  <si>
    <t>Orlando Narvaez</t>
  </si>
  <si>
    <t>Andres Castro</t>
  </si>
  <si>
    <t>Fredy Hernandez</t>
  </si>
  <si>
    <t>Sneyder Bonilla</t>
  </si>
  <si>
    <t>Yury Romero</t>
  </si>
  <si>
    <t>Juan Moreno</t>
  </si>
  <si>
    <t>Oscar Letrado</t>
  </si>
  <si>
    <t>Juan Merchan</t>
  </si>
  <si>
    <t>Abraham Ramirez</t>
  </si>
  <si>
    <t>Juan Naranjo</t>
  </si>
  <si>
    <t>Felipe Higuita</t>
  </si>
  <si>
    <t>Mariana Letrado</t>
  </si>
  <si>
    <t>Dilan Buitrago</t>
  </si>
  <si>
    <t>Deivid Ramirez</t>
  </si>
  <si>
    <t>Fredy Letrado</t>
  </si>
  <si>
    <t>Campeon</t>
  </si>
  <si>
    <t>Goleador</t>
  </si>
  <si>
    <t>Mvp</t>
  </si>
  <si>
    <t>Maximo asistente</t>
  </si>
  <si>
    <t>Goleador F. Grupos</t>
  </si>
  <si>
    <t>Mejor Equipo
Grupos</t>
  </si>
  <si>
    <t>Puntos obtenidos</t>
  </si>
  <si>
    <t>Puntos Posibles</t>
  </si>
  <si>
    <t>Francia</t>
  </si>
  <si>
    <t>Mbappe</t>
  </si>
  <si>
    <t>Bruno Fernandez</t>
  </si>
  <si>
    <t>Cristiano Ronaldo</t>
  </si>
  <si>
    <t>Belgica</t>
  </si>
  <si>
    <t>Luis Suarez</t>
  </si>
  <si>
    <t>Luis Diaz</t>
  </si>
  <si>
    <t>James Rodriguez</t>
  </si>
  <si>
    <t>Colombia</t>
  </si>
  <si>
    <t>Harry Kane</t>
  </si>
  <si>
    <t>Yamal</t>
  </si>
  <si>
    <t>Argentina</t>
  </si>
  <si>
    <t>España</t>
  </si>
  <si>
    <t>Olise</t>
  </si>
  <si>
    <t>Musiala</t>
  </si>
  <si>
    <t>Pedri</t>
  </si>
  <si>
    <t>Julian Alvarez</t>
  </si>
  <si>
    <t>Lautaro Martinez</t>
  </si>
  <si>
    <t>Brasil</t>
  </si>
  <si>
    <t>Haaland</t>
  </si>
  <si>
    <t>Raphina</t>
  </si>
  <si>
    <t>Inglaterra</t>
  </si>
  <si>
    <t>Raphinha</t>
  </si>
  <si>
    <t>Messi</t>
  </si>
  <si>
    <t>Havertz</t>
  </si>
  <si>
    <t>Doue</t>
  </si>
  <si>
    <t>De Bruyne</t>
  </si>
  <si>
    <t>Dembele</t>
  </si>
  <si>
    <t>Alemania</t>
  </si>
  <si>
    <t>Cherki</t>
  </si>
  <si>
    <t>Paises Bajos</t>
  </si>
  <si>
    <t>Deivyd Ramirez</t>
  </si>
  <si>
    <t>Partido 1</t>
  </si>
  <si>
    <t>Resultado Oficial</t>
  </si>
  <si>
    <t>Partido 2</t>
  </si>
  <si>
    <t>Puntaje de la jornada</t>
  </si>
  <si>
    <t>Partido 3</t>
  </si>
  <si>
    <t>Partido 4</t>
  </si>
  <si>
    <t xml:space="preserve">Partido </t>
  </si>
  <si>
    <t>Partido 8</t>
  </si>
  <si>
    <t>Partido 12</t>
  </si>
  <si>
    <t>Partido 16</t>
  </si>
  <si>
    <t>Partido 20</t>
  </si>
  <si>
    <t>Partido 24</t>
  </si>
  <si>
    <t>Partido 28</t>
  </si>
  <si>
    <t>Partido 32</t>
  </si>
  <si>
    <t>Partido 36</t>
  </si>
  <si>
    <t>Partido 40</t>
  </si>
  <si>
    <t>Partido 44</t>
  </si>
  <si>
    <t>Partido 48</t>
  </si>
  <si>
    <t>Partido 54</t>
  </si>
  <si>
    <t>Partido 60</t>
  </si>
  <si>
    <t>Partido 66</t>
  </si>
  <si>
    <t>Partido 72</t>
  </si>
  <si>
    <t>Partido 73</t>
  </si>
  <si>
    <t>Partido 76</t>
  </si>
  <si>
    <t>Partido 79</t>
  </si>
  <si>
    <t>Partido 82</t>
  </si>
  <si>
    <t>Partido 85</t>
  </si>
  <si>
    <t>Partido 88</t>
  </si>
  <si>
    <t>Partido 90</t>
  </si>
  <si>
    <t>Partido 92</t>
  </si>
  <si>
    <t>Partido 94</t>
  </si>
  <si>
    <t>Partido 96</t>
  </si>
  <si>
    <t>Partido 97</t>
  </si>
  <si>
    <t>Partido 98</t>
  </si>
  <si>
    <t>Partido 100</t>
  </si>
  <si>
    <t>Partido</t>
  </si>
  <si>
    <t>Partido 102</t>
  </si>
  <si>
    <t>Partido 103</t>
  </si>
  <si>
    <t>Partido 104</t>
  </si>
  <si>
    <t>Mexico</t>
  </si>
  <si>
    <t>Sudafrica</t>
  </si>
  <si>
    <t>Puntos</t>
  </si>
  <si>
    <t>Corea</t>
  </si>
  <si>
    <t>R. Checa</t>
  </si>
  <si>
    <t>Edward Rios</t>
  </si>
  <si>
    <t>TABLA DE POSICIONES</t>
  </si>
  <si>
    <t>Posición</t>
  </si>
  <si>
    <t>Canada</t>
  </si>
  <si>
    <t>Boznia</t>
  </si>
  <si>
    <t>EEUU</t>
  </si>
  <si>
    <t>Paraguay</t>
  </si>
  <si>
    <t>Catar</t>
  </si>
  <si>
    <t>Suiza</t>
  </si>
  <si>
    <t>Marruecos</t>
  </si>
  <si>
    <t>Australia</t>
  </si>
  <si>
    <t>Turquía</t>
  </si>
  <si>
    <t>Haiti</t>
  </si>
  <si>
    <t>Escocia</t>
  </si>
  <si>
    <t>Partido 5</t>
  </si>
  <si>
    <t>Partido 6</t>
  </si>
  <si>
    <t>Partido 7</t>
  </si>
  <si>
    <t>Curazao</t>
  </si>
  <si>
    <t>Países bajos</t>
  </si>
  <si>
    <t>Japon</t>
  </si>
  <si>
    <t>Costa de marfil</t>
  </si>
  <si>
    <t>Ecuador</t>
  </si>
  <si>
    <t>Suecia</t>
  </si>
  <si>
    <t>Túnez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</si>
  <si>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</si>
  <si>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</si>
  <si>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</si>
  <si>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</si>
  <si>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</si>
  <si>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</si>
  <si>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</si>
  <si>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</si>
  <si>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</si>
  <si>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</si>
  <si>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</si>
  <si>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</si>
  <si>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</si>
  <si>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</si>
  <si>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</si>
  <si>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</si>
  <si>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</si>
  <si>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</si>
  <si>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</si>
  <si>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</si>
  <si>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</si>
  <si>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</si>
  <si>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</si>
  <si>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</si>
  <si>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</si>
  <si>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</si>
  <si>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</si>
  <si>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</si>
  <si>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</si>
  <si>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</si>
  <si>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</si>
  <si>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</si>
  <si>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</si>
  <si>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</si>
  <si>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</si>
  <si>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</si>
  <si>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Cabo Verde</t>
  </si>
  <si>
    <t>Egipto</t>
  </si>
  <si>
    <t>Arabia Saudí</t>
  </si>
  <si>
    <t>Uruguay</t>
  </si>
  <si>
    <t>Iran</t>
  </si>
  <si>
    <t>Nueva Zelanda</t>
  </si>
  <si>
    <t>Senegal</t>
  </si>
  <si>
    <t>Iraq</t>
  </si>
  <si>
    <t>Noruega</t>
  </si>
  <si>
    <t>Argelia</t>
  </si>
  <si>
    <t>Austria</t>
  </si>
  <si>
    <t>Jordania</t>
  </si>
  <si>
    <t>Partido 21</t>
  </si>
  <si>
    <t>Partido 22</t>
  </si>
  <si>
    <t>Partido 23</t>
  </si>
  <si>
    <t>Portugal</t>
  </si>
  <si>
    <t>RD Congo</t>
  </si>
  <si>
    <t>Inlgaterra</t>
  </si>
  <si>
    <t>Croacia</t>
  </si>
  <si>
    <t>Ghana</t>
  </si>
  <si>
    <t>Panamá</t>
  </si>
  <si>
    <t>Usbekistan</t>
  </si>
  <si>
    <t>Sudáfrica</t>
  </si>
  <si>
    <t>Bosnia</t>
  </si>
  <si>
    <t>Canadá</t>
  </si>
  <si>
    <t>Partido 25</t>
  </si>
  <si>
    <t>Partido 26</t>
  </si>
  <si>
    <t>Partido 27</t>
  </si>
  <si>
    <t>Turquia</t>
  </si>
  <si>
    <t>Partido 29</t>
  </si>
  <si>
    <t>Partido 30</t>
  </si>
  <si>
    <t>Partido 31</t>
  </si>
  <si>
    <t>Partido 33</t>
  </si>
  <si>
    <t>Partido 34</t>
  </si>
  <si>
    <t>Partido 35</t>
  </si>
  <si>
    <t>Japón</t>
  </si>
  <si>
    <t>Partido 37</t>
  </si>
  <si>
    <t>Partido 38</t>
  </si>
  <si>
    <t>Partido 39</t>
  </si>
  <si>
    <t>Cabo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</si>
</sst>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89013336588644"/>
        <bgColor rgb="FFDCEAF7"/>
      </patternFill>
    </fill>
    <fill>
      <patternFill patternType="solid">
        <fgColor theme="5" tint="0.79989013336588644"/>
        <bgColor rgb="FFF2CFEE"/>
      </patternFill>
    </fill>
    <fill>
      <patternFill patternType="solid">
        <fgColor theme="0"/>
        <bgColor rgb="FFDCEAF7"/>
      </patternFill>
    </fill>
    <fill>
      <patternFill patternType="solid">
        <fgColor theme="6" tint="0.79989013336588644"/>
        <bgColor rgb="FFD9F2D0"/>
      </patternFill>
    </fill>
    <fill>
      <patternFill patternType="solid">
        <fgColor rgb="FFFFC000"/>
        <bgColor rgb="FFFF9900"/>
      </patternFill>
    </fill>
    <fill>
      <patternFill patternType="solid">
        <fgColor theme="0" tint="-0.14999847407452621"/>
        <bgColor rgb="FFDCEAF7"/>
      </patternFill>
    </fill>
    <fill>
      <patternFill patternType="solid">
        <fgColor theme="5"/>
        <bgColor rgb="FFFF8080"/>
      </patternFill>
    </fill>
    <fill>
      <patternFill patternType="solid">
        <fgColor theme="8" tint="0.79989013336588644"/>
        <bgColor rgb="FFD9D9D9"/>
      </patternFill>
    </fill>
    <fill>
      <patternFill patternType="solid">
        <fgColor theme="3" tint="0.89989928891872917"/>
        <bgColor rgb="FFCAEEFB"/>
      </patternFill>
    </fill>
    <fill>
      <patternFill patternType="solid">
        <fgColor rgb="FFFFB3B3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16" fontId="0" fillId="0" borderId="0" xfId="0" applyNumberFormat="1"/>
    <xf numFmtId="0" fontId="0" fillId="15" borderId="1" xfId="0" applyFill="1" applyBorder="1"/>
    <xf numFmtId="0" fontId="2" fillId="4" borderId="1" xfId="0" applyFont="1" applyFill="1" applyBorder="1" applyAlignment="1">
      <alignment horizontal="center"/>
    </xf>
    <xf numFmtId="0" fontId="0" fillId="0" borderId="2" xfId="0" applyBorder="1"/>
    <xf numFmtId="0" fontId="0" fillId="3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3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9" xfId="0" applyBorder="1"/>
    <xf numFmtId="0" fontId="0" fillId="1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</cellXfs>
  <cellStyles count="1">
    <cellStyle name="Normal" xfId="0" builtinId="0"/>
  </cellStyles>
  <dxfs count="70">
    <dxf>
      <fill>
        <patternFill>
          <bgColor theme="9" tint="0.79989013336588644"/>
        </patternFill>
      </fill>
    </dxf>
    <dxf>
      <fill>
        <patternFill>
          <bgColor theme="9" tint="0.79989013336588644"/>
        </patternFill>
      </fill>
    </dxf>
    <dxf>
      <fill>
        <patternFill>
          <bgColor theme="9" tint="0.7998901333658864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89013336588644"/>
        </patternFill>
      </fill>
    </dxf>
    <dxf>
      <fill>
        <patternFill>
          <bgColor theme="9" tint="0.79989013336588644"/>
        </patternFill>
      </fill>
    </dxf>
    <dxf>
      <fill>
        <patternFill>
          <bgColor theme="9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C2F1C8"/>
      <rgbColor rgb="FFD9F2D0"/>
      <rgbColor rgb="FF99CCFF"/>
      <rgbColor rgb="FFFF99CC"/>
      <rgbColor rgb="FFCC99FF"/>
      <rgbColor rgb="FFF2CFEE"/>
      <rgbColor rgb="FF3366FF"/>
      <rgbColor rgb="FF33CCCC"/>
      <rgbColor rgb="FF99CC00"/>
      <rgbColor rgb="FFFFC0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E35"/>
  <sheetViews>
    <sheetView topLeftCell="A7" zoomScaleNormal="100" workbookViewId="0">
      <selection activeCell="E35" sqref="E35"/>
    </sheetView>
  </sheetViews>
  <sheetFormatPr baseColWidth="10" defaultColWidth="10.5546875" defaultRowHeight="14.4" x14ac:dyDescent="0.3"/>
  <cols>
    <col min="4" max="4" width="22.44140625" customWidth="1"/>
  </cols>
  <sheetData>
    <row r="3" spans="4:5" ht="14.25" customHeight="1" x14ac:dyDescent="0.3">
      <c r="D3" s="1" t="s">
        <v>0</v>
      </c>
      <c r="E3" s="1" t="s">
        <v>1</v>
      </c>
    </row>
    <row r="4" spans="4:5" ht="14.25" customHeight="1" x14ac:dyDescent="0.3">
      <c r="D4" s="2" t="s">
        <v>2</v>
      </c>
      <c r="E4" s="2" t="s">
        <v>3</v>
      </c>
    </row>
    <row r="5" spans="4:5" ht="14.25" customHeight="1" x14ac:dyDescent="0.3">
      <c r="D5" s="2" t="s">
        <v>4</v>
      </c>
      <c r="E5" s="2" t="s">
        <v>3</v>
      </c>
    </row>
    <row r="6" spans="4:5" ht="14.25" customHeight="1" x14ac:dyDescent="0.3">
      <c r="D6" s="2" t="s">
        <v>5</v>
      </c>
      <c r="E6" s="2" t="s">
        <v>3</v>
      </c>
    </row>
    <row r="7" spans="4:5" ht="14.25" customHeight="1" x14ac:dyDescent="0.3">
      <c r="D7" s="2" t="s">
        <v>6</v>
      </c>
      <c r="E7" s="2"/>
    </row>
    <row r="8" spans="4:5" ht="14.25" customHeight="1" x14ac:dyDescent="0.3">
      <c r="D8" s="2" t="s">
        <v>7</v>
      </c>
      <c r="E8" s="2" t="s">
        <v>3</v>
      </c>
    </row>
    <row r="9" spans="4:5" ht="14.25" customHeight="1" x14ac:dyDescent="0.3">
      <c r="D9" s="2" t="s">
        <v>8</v>
      </c>
      <c r="E9" s="2" t="s">
        <v>3</v>
      </c>
    </row>
    <row r="10" spans="4:5" ht="14.25" customHeight="1" x14ac:dyDescent="0.3">
      <c r="D10" s="2" t="s">
        <v>9</v>
      </c>
      <c r="E10" s="2" t="s">
        <v>3</v>
      </c>
    </row>
    <row r="11" spans="4:5" ht="14.25" customHeight="1" x14ac:dyDescent="0.3">
      <c r="D11" s="2" t="s">
        <v>10</v>
      </c>
      <c r="E11" s="2" t="s">
        <v>3</v>
      </c>
    </row>
    <row r="12" spans="4:5" ht="14.25" customHeight="1" x14ac:dyDescent="0.3">
      <c r="D12" s="2" t="s">
        <v>11</v>
      </c>
      <c r="E12" s="2" t="s">
        <v>3</v>
      </c>
    </row>
    <row r="13" spans="4:5" ht="14.25" customHeight="1" x14ac:dyDescent="0.3">
      <c r="D13" s="2" t="s">
        <v>12</v>
      </c>
      <c r="E13" s="2" t="s">
        <v>3</v>
      </c>
    </row>
    <row r="14" spans="4:5" ht="14.25" customHeight="1" x14ac:dyDescent="0.3">
      <c r="D14" s="2" t="s">
        <v>13</v>
      </c>
      <c r="E14" s="2"/>
    </row>
    <row r="15" spans="4:5" ht="14.25" customHeight="1" x14ac:dyDescent="0.3">
      <c r="D15" s="2" t="s">
        <v>14</v>
      </c>
      <c r="E15" s="2" t="s">
        <v>3</v>
      </c>
    </row>
    <row r="16" spans="4:5" ht="14.25" customHeight="1" x14ac:dyDescent="0.3">
      <c r="D16" s="2" t="s">
        <v>15</v>
      </c>
      <c r="E16" s="2" t="s">
        <v>3</v>
      </c>
    </row>
    <row r="17" spans="4:5" ht="14.25" customHeight="1" x14ac:dyDescent="0.3">
      <c r="D17" s="2" t="s">
        <v>16</v>
      </c>
      <c r="E17" s="2" t="s">
        <v>3</v>
      </c>
    </row>
    <row r="18" spans="4:5" ht="14.25" customHeight="1" x14ac:dyDescent="0.3">
      <c r="D18" s="2" t="s">
        <v>17</v>
      </c>
      <c r="E18" s="2" t="s">
        <v>3</v>
      </c>
    </row>
    <row r="19" spans="4:5" ht="14.25" customHeight="1" x14ac:dyDescent="0.3">
      <c r="D19" s="2" t="s">
        <v>18</v>
      </c>
      <c r="E19" s="2" t="s">
        <v>3</v>
      </c>
    </row>
    <row r="20" spans="4:5" ht="14.25" customHeight="1" x14ac:dyDescent="0.3">
      <c r="D20" s="2" t="s">
        <v>19</v>
      </c>
      <c r="E20" s="2" t="s">
        <v>3</v>
      </c>
    </row>
    <row r="21" spans="4:5" ht="14.25" customHeight="1" x14ac:dyDescent="0.3">
      <c r="D21" s="2" t="s">
        <v>20</v>
      </c>
      <c r="E21" s="2" t="s">
        <v>3</v>
      </c>
    </row>
    <row r="22" spans="4:5" ht="14.25" customHeight="1" x14ac:dyDescent="0.3">
      <c r="D22" s="2" t="s">
        <v>21</v>
      </c>
      <c r="E22" s="2" t="s">
        <v>3</v>
      </c>
    </row>
    <row r="23" spans="4:5" ht="14.25" customHeight="1" x14ac:dyDescent="0.3">
      <c r="D23" s="2" t="s">
        <v>22</v>
      </c>
      <c r="E23" s="2" t="s">
        <v>3</v>
      </c>
    </row>
    <row r="24" spans="4:5" ht="14.25" customHeight="1" x14ac:dyDescent="0.3">
      <c r="D24" s="2" t="s">
        <v>23</v>
      </c>
      <c r="E24" s="2" t="s">
        <v>3</v>
      </c>
    </row>
    <row r="25" spans="4:5" ht="14.25" customHeight="1" x14ac:dyDescent="0.3">
      <c r="D25" s="2" t="s">
        <v>24</v>
      </c>
      <c r="E25" s="2" t="s">
        <v>3</v>
      </c>
    </row>
    <row r="26" spans="4:5" ht="14.25" customHeight="1" x14ac:dyDescent="0.3">
      <c r="D26" s="2" t="s">
        <v>25</v>
      </c>
      <c r="E26" s="2" t="s">
        <v>3</v>
      </c>
    </row>
    <row r="27" spans="4:5" ht="14.25" customHeight="1" x14ac:dyDescent="0.3">
      <c r="D27" s="2" t="s">
        <v>26</v>
      </c>
      <c r="E27" s="2" t="s">
        <v>3</v>
      </c>
    </row>
    <row r="28" spans="4:5" ht="14.25" customHeight="1" x14ac:dyDescent="0.3">
      <c r="D28" s="2" t="s">
        <v>27</v>
      </c>
      <c r="E28" s="2" t="s">
        <v>3</v>
      </c>
    </row>
    <row r="29" spans="4:5" ht="14.25" customHeight="1" x14ac:dyDescent="0.3">
      <c r="D29" s="2" t="s">
        <v>28</v>
      </c>
      <c r="E29" s="2" t="s">
        <v>3</v>
      </c>
    </row>
    <row r="30" spans="4:5" ht="14.25" customHeight="1" x14ac:dyDescent="0.3">
      <c r="D30" s="2" t="s">
        <v>29</v>
      </c>
      <c r="E30" s="2" t="s">
        <v>3</v>
      </c>
    </row>
    <row r="31" spans="4:5" ht="14.25" customHeight="1" x14ac:dyDescent="0.3">
      <c r="D31" s="2" t="s">
        <v>30</v>
      </c>
      <c r="E31" s="2" t="s">
        <v>3</v>
      </c>
    </row>
    <row r="32" spans="4:5" ht="14.25" customHeight="1" x14ac:dyDescent="0.3">
      <c r="D32" s="2" t="s">
        <v>31</v>
      </c>
      <c r="E32" s="2" t="s">
        <v>3</v>
      </c>
    </row>
    <row r="33" spans="4:5" ht="14.25" customHeight="1" x14ac:dyDescent="0.3">
      <c r="D33" s="2" t="s">
        <v>32</v>
      </c>
      <c r="E33" s="2" t="s">
        <v>3</v>
      </c>
    </row>
    <row r="34" spans="4:5" ht="14.25" customHeight="1" x14ac:dyDescent="0.3">
      <c r="D34" s="2" t="s">
        <v>33</v>
      </c>
      <c r="E34" s="2" t="s">
        <v>3</v>
      </c>
    </row>
    <row r="35" spans="4:5" ht="14.25" customHeight="1" x14ac:dyDescent="0.3">
      <c r="D35" s="2" t="s">
        <v>34</v>
      </c>
      <c r="E35" s="2"/>
    </row>
  </sheetData>
  <conditionalFormatting sqref="D4:D35">
    <cfRule type="expression" dxfId="69" priority="2">
      <formula>E4="OK"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34"/>
  <sheetViews>
    <sheetView topLeftCell="A7" zoomScale="85" zoomScaleNormal="85" workbookViewId="0">
      <selection activeCell="N17" sqref="N17"/>
    </sheetView>
  </sheetViews>
  <sheetFormatPr baseColWidth="10" defaultColWidth="10.5546875" defaultRowHeight="14.4" x14ac:dyDescent="0.3"/>
  <cols>
    <col min="3" max="3" width="22.88671875" customWidth="1"/>
    <col min="4" max="4" width="16.88671875" customWidth="1"/>
    <col min="5" max="5" width="16.5546875" customWidth="1"/>
    <col min="6" max="6" width="15.77734375" customWidth="1"/>
    <col min="7" max="9" width="16.5546875" customWidth="1"/>
    <col min="10" max="10" width="15.6640625" customWidth="1"/>
    <col min="11" max="11" width="14.44140625" customWidth="1"/>
  </cols>
  <sheetData>
    <row r="2" spans="3:11" ht="28.5" customHeight="1" x14ac:dyDescent="0.3">
      <c r="C2" s="3" t="s">
        <v>0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4" t="s">
        <v>40</v>
      </c>
      <c r="J2" s="3" t="s">
        <v>41</v>
      </c>
      <c r="K2" s="3" t="s">
        <v>42</v>
      </c>
    </row>
    <row r="3" spans="3:11" ht="14.25" customHeight="1" x14ac:dyDescent="0.3">
      <c r="C3" s="5" t="s">
        <v>2</v>
      </c>
      <c r="D3" s="6" t="s">
        <v>43</v>
      </c>
      <c r="E3" s="6" t="s">
        <v>44</v>
      </c>
      <c r="F3" s="6" t="s">
        <v>44</v>
      </c>
      <c r="G3" s="6" t="s">
        <v>45</v>
      </c>
      <c r="H3" s="6" t="s">
        <v>46</v>
      </c>
      <c r="I3" s="6" t="s">
        <v>47</v>
      </c>
      <c r="J3" s="7"/>
      <c r="K3" s="2"/>
    </row>
    <row r="4" spans="3:11" ht="14.25" customHeight="1" x14ac:dyDescent="0.3">
      <c r="C4" s="5" t="s">
        <v>4</v>
      </c>
      <c r="D4" s="6" t="s">
        <v>43</v>
      </c>
      <c r="E4" s="6" t="s">
        <v>48</v>
      </c>
      <c r="F4" s="6" t="s">
        <v>49</v>
      </c>
      <c r="G4" s="6" t="s">
        <v>50</v>
      </c>
      <c r="H4" s="6" t="s">
        <v>49</v>
      </c>
      <c r="I4" s="6" t="s">
        <v>51</v>
      </c>
      <c r="J4" s="7"/>
      <c r="K4" s="2"/>
    </row>
    <row r="5" spans="3:11" ht="14.25" customHeight="1" x14ac:dyDescent="0.3">
      <c r="C5" s="5" t="s">
        <v>5</v>
      </c>
      <c r="D5" s="6" t="s">
        <v>43</v>
      </c>
      <c r="E5" s="6" t="s">
        <v>52</v>
      </c>
      <c r="F5" s="6" t="s">
        <v>44</v>
      </c>
      <c r="G5" s="6" t="s">
        <v>53</v>
      </c>
      <c r="H5" s="6" t="s">
        <v>44</v>
      </c>
      <c r="I5" s="6" t="s">
        <v>54</v>
      </c>
      <c r="J5" s="7"/>
      <c r="K5" s="2"/>
    </row>
    <row r="6" spans="3:11" ht="14.25" customHeight="1" x14ac:dyDescent="0.3">
      <c r="C6" s="5" t="s">
        <v>6</v>
      </c>
      <c r="D6" s="6" t="s">
        <v>55</v>
      </c>
      <c r="E6" s="6" t="s">
        <v>44</v>
      </c>
      <c r="F6" s="6" t="s">
        <v>56</v>
      </c>
      <c r="G6" s="6" t="s">
        <v>53</v>
      </c>
      <c r="H6" s="6" t="s">
        <v>44</v>
      </c>
      <c r="I6" s="6" t="s">
        <v>55</v>
      </c>
      <c r="J6" s="7"/>
      <c r="K6" s="2"/>
    </row>
    <row r="7" spans="3:11" ht="14.25" customHeight="1" x14ac:dyDescent="0.3">
      <c r="C7" s="5" t="s">
        <v>7</v>
      </c>
      <c r="D7" s="6" t="s">
        <v>43</v>
      </c>
      <c r="E7" s="6" t="s">
        <v>44</v>
      </c>
      <c r="F7" s="6" t="s">
        <v>44</v>
      </c>
      <c r="G7" s="6" t="s">
        <v>57</v>
      </c>
      <c r="H7" s="6" t="s">
        <v>46</v>
      </c>
      <c r="I7" s="6" t="s">
        <v>55</v>
      </c>
      <c r="J7" s="7"/>
      <c r="K7" s="2"/>
    </row>
    <row r="8" spans="3:11" ht="14.25" customHeight="1" x14ac:dyDescent="0.3">
      <c r="C8" s="5" t="s">
        <v>8</v>
      </c>
      <c r="D8" s="6" t="s">
        <v>55</v>
      </c>
      <c r="E8" s="6" t="s">
        <v>44</v>
      </c>
      <c r="F8" s="6" t="s">
        <v>53</v>
      </c>
      <c r="G8" s="6" t="s">
        <v>53</v>
      </c>
      <c r="H8" s="6" t="s">
        <v>44</v>
      </c>
      <c r="I8" s="6" t="s">
        <v>55</v>
      </c>
      <c r="J8" s="7"/>
      <c r="K8" s="2"/>
    </row>
    <row r="9" spans="3:11" ht="14.25" customHeight="1" x14ac:dyDescent="0.3">
      <c r="C9" s="5" t="s">
        <v>9</v>
      </c>
      <c r="D9" s="6" t="s">
        <v>55</v>
      </c>
      <c r="E9" s="6" t="s">
        <v>52</v>
      </c>
      <c r="F9" s="6" t="s">
        <v>53</v>
      </c>
      <c r="G9" s="6" t="s">
        <v>53</v>
      </c>
      <c r="H9" s="6" t="s">
        <v>52</v>
      </c>
      <c r="I9" s="6" t="s">
        <v>54</v>
      </c>
      <c r="J9" s="7"/>
      <c r="K9" s="2"/>
    </row>
    <row r="10" spans="3:11" ht="14.25" customHeight="1" x14ac:dyDescent="0.3">
      <c r="C10" s="5" t="s">
        <v>10</v>
      </c>
      <c r="D10" s="6" t="s">
        <v>55</v>
      </c>
      <c r="E10" s="6" t="s">
        <v>44</v>
      </c>
      <c r="F10" s="6" t="s">
        <v>53</v>
      </c>
      <c r="G10" s="6" t="s">
        <v>53</v>
      </c>
      <c r="H10" s="6" t="s">
        <v>44</v>
      </c>
      <c r="I10" s="6" t="s">
        <v>55</v>
      </c>
      <c r="J10" s="7"/>
      <c r="K10" s="2"/>
    </row>
    <row r="11" spans="3:11" ht="14.25" customHeight="1" x14ac:dyDescent="0.3">
      <c r="C11" s="5" t="s">
        <v>11</v>
      </c>
      <c r="D11" s="6" t="s">
        <v>43</v>
      </c>
      <c r="E11" s="6" t="s">
        <v>44</v>
      </c>
      <c r="F11" s="6" t="s">
        <v>53</v>
      </c>
      <c r="G11" s="6" t="s">
        <v>53</v>
      </c>
      <c r="H11" s="6" t="s">
        <v>52</v>
      </c>
      <c r="I11" s="6" t="s">
        <v>54</v>
      </c>
      <c r="J11" s="7"/>
      <c r="K11" s="2"/>
    </row>
    <row r="12" spans="3:11" ht="14.25" customHeight="1" x14ac:dyDescent="0.3">
      <c r="C12" s="5" t="s">
        <v>12</v>
      </c>
      <c r="D12" s="6" t="s">
        <v>55</v>
      </c>
      <c r="E12" s="6" t="s">
        <v>52</v>
      </c>
      <c r="F12" s="6" t="s">
        <v>53</v>
      </c>
      <c r="G12" s="6" t="s">
        <v>58</v>
      </c>
      <c r="H12" s="6" t="s">
        <v>59</v>
      </c>
      <c r="I12" s="6" t="s">
        <v>54</v>
      </c>
      <c r="J12" s="7"/>
      <c r="K12" s="2"/>
    </row>
    <row r="13" spans="3:11" ht="14.25" customHeight="1" x14ac:dyDescent="0.3">
      <c r="C13" s="5" t="s">
        <v>13</v>
      </c>
      <c r="D13" s="6" t="s">
        <v>55</v>
      </c>
      <c r="E13" s="6" t="s">
        <v>52</v>
      </c>
      <c r="F13" s="6" t="s">
        <v>53</v>
      </c>
      <c r="G13" s="6" t="s">
        <v>53</v>
      </c>
      <c r="H13" s="6" t="s">
        <v>60</v>
      </c>
      <c r="I13" s="6" t="s">
        <v>54</v>
      </c>
      <c r="J13" s="7"/>
      <c r="K13" s="2"/>
    </row>
    <row r="14" spans="3:11" ht="14.25" customHeight="1" x14ac:dyDescent="0.3">
      <c r="C14" s="5" t="s">
        <v>14</v>
      </c>
      <c r="D14" s="6" t="s">
        <v>61</v>
      </c>
      <c r="E14" s="6" t="s">
        <v>62</v>
      </c>
      <c r="F14" s="6" t="s">
        <v>63</v>
      </c>
      <c r="G14" s="6" t="s">
        <v>50</v>
      </c>
      <c r="H14" s="6" t="s">
        <v>60</v>
      </c>
      <c r="I14" s="6" t="s">
        <v>61</v>
      </c>
      <c r="J14" s="7"/>
      <c r="K14" s="2"/>
    </row>
    <row r="15" spans="3:11" ht="14.25" customHeight="1" x14ac:dyDescent="0.3">
      <c r="C15" s="5" t="s">
        <v>15</v>
      </c>
      <c r="D15" s="6" t="s">
        <v>43</v>
      </c>
      <c r="E15" s="6" t="s">
        <v>62</v>
      </c>
      <c r="F15" s="6" t="s">
        <v>44</v>
      </c>
      <c r="G15" s="6" t="s">
        <v>53</v>
      </c>
      <c r="H15" s="6" t="s">
        <v>60</v>
      </c>
      <c r="I15" s="6" t="s">
        <v>55</v>
      </c>
      <c r="J15" s="7"/>
      <c r="K15" s="2"/>
    </row>
    <row r="16" spans="3:11" ht="14.25" customHeight="1" x14ac:dyDescent="0.3">
      <c r="C16" s="5" t="s">
        <v>16</v>
      </c>
      <c r="D16" s="6" t="s">
        <v>64</v>
      </c>
      <c r="E16" s="6" t="s">
        <v>52</v>
      </c>
      <c r="F16" s="6" t="s">
        <v>45</v>
      </c>
      <c r="G16" s="6" t="s">
        <v>45</v>
      </c>
      <c r="H16" s="6" t="s">
        <v>62</v>
      </c>
      <c r="I16" s="6" t="s">
        <v>51</v>
      </c>
      <c r="J16" s="7"/>
      <c r="K16" s="2"/>
    </row>
    <row r="17" spans="3:11" ht="14.25" customHeight="1" x14ac:dyDescent="0.3">
      <c r="C17" s="5" t="s">
        <v>17</v>
      </c>
      <c r="D17" s="6" t="s">
        <v>55</v>
      </c>
      <c r="E17" s="6" t="s">
        <v>44</v>
      </c>
      <c r="F17" s="6" t="s">
        <v>53</v>
      </c>
      <c r="G17" s="6" t="s">
        <v>56</v>
      </c>
      <c r="H17" s="6" t="s">
        <v>65</v>
      </c>
      <c r="I17" s="6" t="s">
        <v>61</v>
      </c>
      <c r="J17" s="7"/>
      <c r="K17" s="2"/>
    </row>
    <row r="18" spans="3:11" ht="14.25" customHeight="1" x14ac:dyDescent="0.3">
      <c r="C18" s="5" t="s">
        <v>18</v>
      </c>
      <c r="D18" s="6" t="s">
        <v>43</v>
      </c>
      <c r="E18" s="6" t="s">
        <v>44</v>
      </c>
      <c r="F18" s="6" t="s">
        <v>44</v>
      </c>
      <c r="G18" s="6" t="s">
        <v>56</v>
      </c>
      <c r="H18" s="6" t="s">
        <v>66</v>
      </c>
      <c r="I18" s="6" t="s">
        <v>54</v>
      </c>
      <c r="J18" s="7"/>
      <c r="K18" s="2"/>
    </row>
    <row r="19" spans="3:11" ht="14.25" customHeight="1" x14ac:dyDescent="0.3">
      <c r="C19" s="5" t="s">
        <v>19</v>
      </c>
      <c r="D19" s="6" t="s">
        <v>55</v>
      </c>
      <c r="E19" s="6" t="s">
        <v>44</v>
      </c>
      <c r="F19" s="6" t="s">
        <v>53</v>
      </c>
      <c r="G19" s="6" t="s">
        <v>53</v>
      </c>
      <c r="H19" s="6" t="s">
        <v>52</v>
      </c>
      <c r="I19" s="6" t="s">
        <v>55</v>
      </c>
      <c r="J19" s="7"/>
      <c r="K19" s="2"/>
    </row>
    <row r="20" spans="3:11" ht="14.25" customHeight="1" x14ac:dyDescent="0.3">
      <c r="C20" s="5" t="s">
        <v>20</v>
      </c>
      <c r="D20" s="6" t="s">
        <v>55</v>
      </c>
      <c r="E20" s="6" t="s">
        <v>67</v>
      </c>
      <c r="F20" s="6" t="s">
        <v>58</v>
      </c>
      <c r="G20" s="6" t="s">
        <v>66</v>
      </c>
      <c r="H20" s="6" t="s">
        <v>67</v>
      </c>
      <c r="I20" s="6" t="s">
        <v>54</v>
      </c>
      <c r="J20" s="7"/>
      <c r="K20" s="2"/>
    </row>
    <row r="21" spans="3:11" ht="14.25" customHeight="1" x14ac:dyDescent="0.3">
      <c r="C21" s="5" t="s">
        <v>21</v>
      </c>
      <c r="D21" s="6" t="s">
        <v>55</v>
      </c>
      <c r="E21" s="6" t="s">
        <v>52</v>
      </c>
      <c r="F21" s="6" t="s">
        <v>53</v>
      </c>
      <c r="G21" s="6" t="s">
        <v>57</v>
      </c>
      <c r="H21" s="6" t="s">
        <v>44</v>
      </c>
      <c r="I21" s="6" t="s">
        <v>43</v>
      </c>
      <c r="J21" s="7"/>
      <c r="K21" s="2"/>
    </row>
    <row r="22" spans="3:11" ht="14.25" customHeight="1" x14ac:dyDescent="0.3">
      <c r="C22" s="5" t="s">
        <v>22</v>
      </c>
      <c r="D22" s="6" t="s">
        <v>43</v>
      </c>
      <c r="E22" s="6" t="s">
        <v>44</v>
      </c>
      <c r="F22" s="6" t="s">
        <v>68</v>
      </c>
      <c r="G22" s="6" t="s">
        <v>69</v>
      </c>
      <c r="H22" s="6" t="s">
        <v>52</v>
      </c>
      <c r="I22" s="6" t="s">
        <v>54</v>
      </c>
      <c r="J22" s="8"/>
      <c r="K22" s="2"/>
    </row>
    <row r="23" spans="3:11" ht="14.25" customHeight="1" x14ac:dyDescent="0.3">
      <c r="C23" s="5" t="s">
        <v>23</v>
      </c>
      <c r="D23" s="6" t="s">
        <v>55</v>
      </c>
      <c r="E23" s="6" t="s">
        <v>44</v>
      </c>
      <c r="F23" s="6" t="s">
        <v>53</v>
      </c>
      <c r="G23" s="6" t="s">
        <v>56</v>
      </c>
      <c r="H23" s="6" t="s">
        <v>60</v>
      </c>
      <c r="I23" s="6" t="s">
        <v>54</v>
      </c>
      <c r="J23" s="8"/>
      <c r="K23" s="2"/>
    </row>
    <row r="24" spans="3:11" ht="14.25" customHeight="1" x14ac:dyDescent="0.3">
      <c r="C24" s="5" t="s">
        <v>24</v>
      </c>
      <c r="D24" s="9" t="s">
        <v>55</v>
      </c>
      <c r="E24" s="9" t="s">
        <v>44</v>
      </c>
      <c r="F24" s="9" t="s">
        <v>53</v>
      </c>
      <c r="G24" s="9" t="s">
        <v>56</v>
      </c>
      <c r="H24" s="9" t="s">
        <v>52</v>
      </c>
      <c r="I24" s="9" t="s">
        <v>55</v>
      </c>
      <c r="J24" s="8"/>
      <c r="K24" s="2"/>
    </row>
    <row r="25" spans="3:11" ht="14.25" customHeight="1" x14ac:dyDescent="0.3">
      <c r="C25" s="5" t="s">
        <v>25</v>
      </c>
      <c r="D25" s="9" t="s">
        <v>43</v>
      </c>
      <c r="E25" s="9" t="s">
        <v>44</v>
      </c>
      <c r="F25" s="9" t="s">
        <v>56</v>
      </c>
      <c r="G25" s="9" t="s">
        <v>57</v>
      </c>
      <c r="H25" s="9" t="s">
        <v>49</v>
      </c>
      <c r="I25" s="9" t="s">
        <v>61</v>
      </c>
      <c r="J25" s="8"/>
      <c r="K25" s="2"/>
    </row>
    <row r="26" spans="3:11" ht="14.25" customHeight="1" x14ac:dyDescent="0.3">
      <c r="C26" s="5" t="s">
        <v>26</v>
      </c>
      <c r="D26" s="9" t="s">
        <v>55</v>
      </c>
      <c r="E26" s="9" t="s">
        <v>44</v>
      </c>
      <c r="F26" s="9" t="s">
        <v>53</v>
      </c>
      <c r="G26" s="9" t="s">
        <v>66</v>
      </c>
      <c r="H26" s="9" t="s">
        <v>59</v>
      </c>
      <c r="I26" s="9" t="s">
        <v>43</v>
      </c>
      <c r="J26" s="8"/>
      <c r="K26" s="2"/>
    </row>
    <row r="27" spans="3:11" ht="14.25" customHeight="1" x14ac:dyDescent="0.3">
      <c r="C27" s="5" t="s">
        <v>27</v>
      </c>
      <c r="D27" s="9" t="s">
        <v>43</v>
      </c>
      <c r="E27" s="9" t="s">
        <v>44</v>
      </c>
      <c r="F27" s="9" t="s">
        <v>53</v>
      </c>
      <c r="G27" s="9" t="s">
        <v>56</v>
      </c>
      <c r="H27" s="9" t="s">
        <v>70</v>
      </c>
      <c r="I27" s="9" t="s">
        <v>71</v>
      </c>
      <c r="J27" s="8"/>
      <c r="K27" s="2"/>
    </row>
    <row r="28" spans="3:11" ht="14.25" customHeight="1" x14ac:dyDescent="0.3">
      <c r="C28" s="5" t="s">
        <v>28</v>
      </c>
      <c r="D28" s="9" t="s">
        <v>55</v>
      </c>
      <c r="E28" s="9" t="s">
        <v>44</v>
      </c>
      <c r="F28" s="9" t="s">
        <v>53</v>
      </c>
      <c r="G28" s="9" t="s">
        <v>66</v>
      </c>
      <c r="H28" s="9" t="s">
        <v>59</v>
      </c>
      <c r="I28" s="9" t="s">
        <v>47</v>
      </c>
      <c r="J28" s="8"/>
      <c r="K28" s="2"/>
    </row>
    <row r="29" spans="3:11" ht="14.25" customHeight="1" x14ac:dyDescent="0.3">
      <c r="C29" s="5" t="s">
        <v>29</v>
      </c>
      <c r="D29" s="9" t="s">
        <v>55</v>
      </c>
      <c r="E29" s="9" t="s">
        <v>52</v>
      </c>
      <c r="F29" s="9" t="s">
        <v>44</v>
      </c>
      <c r="G29" s="9" t="s">
        <v>72</v>
      </c>
      <c r="H29" s="9" t="s">
        <v>44</v>
      </c>
      <c r="I29" s="9" t="s">
        <v>54</v>
      </c>
      <c r="J29" s="8"/>
      <c r="K29" s="2"/>
    </row>
    <row r="30" spans="3:11" ht="14.25" customHeight="1" x14ac:dyDescent="0.3">
      <c r="C30" s="5" t="s">
        <v>30</v>
      </c>
      <c r="D30" s="9" t="s">
        <v>55</v>
      </c>
      <c r="E30" s="9" t="s">
        <v>44</v>
      </c>
      <c r="F30" s="9" t="s">
        <v>53</v>
      </c>
      <c r="G30" s="9" t="s">
        <v>53</v>
      </c>
      <c r="H30" s="9" t="s">
        <v>52</v>
      </c>
      <c r="I30" s="9" t="s">
        <v>64</v>
      </c>
      <c r="J30" s="8"/>
      <c r="K30" s="2"/>
    </row>
    <row r="31" spans="3:11" ht="14.25" customHeight="1" x14ac:dyDescent="0.3">
      <c r="C31" s="5" t="s">
        <v>31</v>
      </c>
      <c r="D31" s="9" t="s">
        <v>55</v>
      </c>
      <c r="E31" s="9" t="s">
        <v>52</v>
      </c>
      <c r="F31" s="9" t="s">
        <v>53</v>
      </c>
      <c r="G31" s="9" t="s">
        <v>45</v>
      </c>
      <c r="H31" s="9" t="s">
        <v>52</v>
      </c>
      <c r="I31" s="9" t="s">
        <v>73</v>
      </c>
      <c r="J31" s="8"/>
      <c r="K31" s="2"/>
    </row>
    <row r="32" spans="3:11" ht="14.25" customHeight="1" x14ac:dyDescent="0.3">
      <c r="C32" s="5" t="s">
        <v>32</v>
      </c>
      <c r="D32" s="9" t="s">
        <v>55</v>
      </c>
      <c r="E32" s="9" t="s">
        <v>44</v>
      </c>
      <c r="F32" s="9" t="s">
        <v>53</v>
      </c>
      <c r="G32" s="9" t="s">
        <v>45</v>
      </c>
      <c r="H32" s="9" t="s">
        <v>44</v>
      </c>
      <c r="I32" s="9" t="s">
        <v>55</v>
      </c>
      <c r="J32" s="8"/>
      <c r="K32" s="2"/>
    </row>
    <row r="33" spans="3:11" ht="14.25" customHeight="1" x14ac:dyDescent="0.3">
      <c r="C33" s="5" t="s">
        <v>33</v>
      </c>
      <c r="D33" s="9" t="s">
        <v>55</v>
      </c>
      <c r="E33" s="9" t="s">
        <v>44</v>
      </c>
      <c r="F33" s="9" t="s">
        <v>53</v>
      </c>
      <c r="G33" s="9" t="s">
        <v>45</v>
      </c>
      <c r="H33" s="9" t="s">
        <v>44</v>
      </c>
      <c r="I33" s="9" t="s">
        <v>55</v>
      </c>
      <c r="J33" s="8"/>
      <c r="K33" s="2"/>
    </row>
    <row r="34" spans="3:11" ht="14.25" customHeight="1" x14ac:dyDescent="0.3">
      <c r="C34" s="5" t="s">
        <v>34</v>
      </c>
      <c r="D34" s="9" t="s">
        <v>54</v>
      </c>
      <c r="E34" s="9" t="s">
        <v>44</v>
      </c>
      <c r="F34" s="9" t="s">
        <v>66</v>
      </c>
      <c r="G34" s="9" t="s">
        <v>66</v>
      </c>
      <c r="H34" s="9" t="s">
        <v>44</v>
      </c>
      <c r="I34" s="9" t="s">
        <v>43</v>
      </c>
      <c r="J34" s="8"/>
      <c r="K34" s="2"/>
    </row>
  </sheetData>
  <conditionalFormatting sqref="C3:C34">
    <cfRule type="expression" dxfId="68" priority="2">
      <formula>D3="OK"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I35"/>
  <sheetViews>
    <sheetView zoomScale="70" zoomScaleNormal="70" workbookViewId="0">
      <selection activeCell="EJ37" sqref="EJ37"/>
    </sheetView>
  </sheetViews>
  <sheetFormatPr baseColWidth="10" defaultColWidth="10.5546875" defaultRowHeight="14.4" x14ac:dyDescent="0.3"/>
  <cols>
    <col min="1" max="1" width="16.44140625" bestFit="1" customWidth="1"/>
    <col min="2" max="2" width="11.5546875" hidden="1" customWidth="1"/>
    <col min="3" max="3" width="10.6640625" hidden="1" customWidth="1"/>
    <col min="4" max="4" width="9.44140625" hidden="1" customWidth="1"/>
    <col min="5" max="5" width="13.5546875" hidden="1" customWidth="1"/>
    <col min="6" max="6" width="14.21875" hidden="1" customWidth="1"/>
    <col min="7" max="10" width="11.5546875" hidden="1" customWidth="1"/>
    <col min="11" max="40" width="10.5546875" hidden="1" customWidth="1"/>
    <col min="41" max="41" width="11.5546875" hidden="1" customWidth="1"/>
    <col min="42" max="44" width="10.5546875" hidden="1" customWidth="1"/>
    <col min="45" max="45" width="13.77734375" hidden="1" customWidth="1"/>
    <col min="46" max="54" width="10.5546875" hidden="1" customWidth="1"/>
    <col min="55" max="55" width="10.88671875" hidden="1" customWidth="1"/>
    <col min="56" max="61" width="10.5546875" hidden="1" customWidth="1"/>
    <col min="62" max="62" width="11.5546875" hidden="1" customWidth="1"/>
    <col min="63" max="66" width="10.5546875" hidden="1" customWidth="1"/>
    <col min="67" max="67" width="13.5546875" hidden="1" customWidth="1"/>
    <col min="68" max="103" width="10.5546875" hidden="1" customWidth="1"/>
    <col min="104" max="104" width="10.109375" hidden="1" customWidth="1"/>
    <col min="105" max="105" width="8.33203125" hidden="1" customWidth="1"/>
    <col min="106" max="106" width="9" hidden="1" customWidth="1"/>
    <col min="107" max="107" width="8.109375" hidden="1" customWidth="1"/>
    <col min="108" max="108" width="9.5546875" hidden="1" customWidth="1"/>
    <col min="109" max="109" width="5.5546875" hidden="1" customWidth="1"/>
    <col min="110" max="110" width="6.77734375" hidden="1" customWidth="1"/>
    <col min="111" max="112" width="10.33203125" hidden="1" customWidth="1"/>
    <col min="113" max="113" width="7.44140625" hidden="1" customWidth="1"/>
    <col min="114" max="114" width="5.5546875" hidden="1" customWidth="1"/>
    <col min="115" max="115" width="7.33203125" hidden="1" customWidth="1"/>
    <col min="116" max="116" width="8.5546875" hidden="1" customWidth="1"/>
    <col min="117" max="117" width="7.21875" hidden="1" customWidth="1"/>
    <col min="118" max="118" width="6.109375" hidden="1" customWidth="1"/>
    <col min="119" max="119" width="9" hidden="1" customWidth="1"/>
    <col min="120" max="120" width="12.6640625" hidden="1" customWidth="1"/>
    <col min="121" max="121" width="10.109375" hidden="1" customWidth="1"/>
    <col min="122" max="134" width="10.5546875" hidden="1" customWidth="1"/>
    <col min="135" max="135" width="8.6640625" hidden="1" customWidth="1"/>
    <col min="136" max="137" width="2.21875" hidden="1" customWidth="1"/>
    <col min="138" max="138" width="10.109375" hidden="1" customWidth="1"/>
    <col min="139" max="139" width="11.5546875" hidden="1" customWidth="1"/>
    <col min="140" max="140" width="6.77734375" hidden="1" customWidth="1"/>
    <col min="141" max="142" width="2.21875" hidden="1" customWidth="1"/>
    <col min="143" max="143" width="9" hidden="1" customWidth="1"/>
    <col min="144" max="144" width="13.77734375" hidden="1" customWidth="1"/>
    <col min="145" max="146" width="2.21875" hidden="1" customWidth="1"/>
    <col min="147" max="147" width="8" hidden="1" customWidth="1"/>
    <col min="148" max="148" width="7.88671875" hidden="1" customWidth="1"/>
    <col min="149" max="150" width="2.21875" hidden="1" customWidth="1"/>
    <col min="151" max="151" width="6.109375" hidden="1" customWidth="1"/>
    <col min="152" max="152" width="6" hidden="1" customWidth="1"/>
    <col min="153" max="154" width="2.21875" hidden="1" customWidth="1"/>
    <col min="155" max="155" width="10.109375" hidden="1" customWidth="1"/>
    <col min="157" max="157" width="11.5546875" bestFit="1" customWidth="1"/>
    <col min="165" max="165" width="10.77734375" bestFit="1" customWidth="1"/>
    <col min="168" max="168" width="13.5546875" bestFit="1" customWidth="1"/>
  </cols>
  <sheetData>
    <row r="1" spans="1:451" ht="14.25" customHeight="1" x14ac:dyDescent="0.3">
      <c r="A1" s="35" t="s">
        <v>0</v>
      </c>
      <c r="B1" s="29" t="s">
        <v>75</v>
      </c>
      <c r="C1" s="30"/>
      <c r="D1" s="22" t="s">
        <v>76</v>
      </c>
      <c r="E1" s="23"/>
      <c r="F1" s="29" t="s">
        <v>77</v>
      </c>
      <c r="G1" s="30"/>
      <c r="H1" s="22" t="s">
        <v>76</v>
      </c>
      <c r="I1" s="23"/>
      <c r="J1" s="26" t="s">
        <v>78</v>
      </c>
      <c r="K1" s="29" t="s">
        <v>79</v>
      </c>
      <c r="L1" s="30"/>
      <c r="M1" s="22" t="s">
        <v>76</v>
      </c>
      <c r="N1" s="23"/>
      <c r="O1" s="29" t="s">
        <v>80</v>
      </c>
      <c r="P1" s="30"/>
      <c r="Q1" s="22" t="s">
        <v>76</v>
      </c>
      <c r="R1" s="23"/>
      <c r="S1" s="26" t="s">
        <v>78</v>
      </c>
      <c r="T1" s="29" t="s">
        <v>133</v>
      </c>
      <c r="U1" s="30"/>
      <c r="V1" s="22" t="s">
        <v>76</v>
      </c>
      <c r="W1" s="23"/>
      <c r="X1" s="29" t="s">
        <v>134</v>
      </c>
      <c r="Y1" s="30"/>
      <c r="Z1" s="22" t="s">
        <v>76</v>
      </c>
      <c r="AA1" s="23"/>
      <c r="AB1" s="29" t="s">
        <v>135</v>
      </c>
      <c r="AC1" s="30"/>
      <c r="AD1" s="22" t="s">
        <v>76</v>
      </c>
      <c r="AE1" s="23"/>
      <c r="AF1" s="29" t="s">
        <v>82</v>
      </c>
      <c r="AG1" s="30"/>
      <c r="AH1" s="22" t="s">
        <v>76</v>
      </c>
      <c r="AI1" s="23"/>
      <c r="AJ1" s="26" t="s">
        <v>78</v>
      </c>
      <c r="AK1" s="29" t="s">
        <v>81</v>
      </c>
      <c r="AL1" s="30"/>
      <c r="AM1" s="22" t="s">
        <v>76</v>
      </c>
      <c r="AN1" s="23"/>
      <c r="AO1" s="29" t="s">
        <v>81</v>
      </c>
      <c r="AP1" s="30"/>
      <c r="AQ1" s="22" t="s">
        <v>76</v>
      </c>
      <c r="AR1" s="23"/>
      <c r="AS1" s="29" t="s">
        <v>81</v>
      </c>
      <c r="AT1" s="30"/>
      <c r="AU1" s="22" t="s">
        <v>76</v>
      </c>
      <c r="AV1" s="23"/>
      <c r="AW1" s="29" t="s">
        <v>83</v>
      </c>
      <c r="AX1" s="30"/>
      <c r="AY1" s="22" t="s">
        <v>76</v>
      </c>
      <c r="AZ1" s="23"/>
      <c r="BA1" s="26" t="s">
        <v>78</v>
      </c>
      <c r="BB1" s="29" t="s">
        <v>81</v>
      </c>
      <c r="BC1" s="30"/>
      <c r="BD1" s="22" t="s">
        <v>76</v>
      </c>
      <c r="BE1" s="23"/>
      <c r="BF1" s="29" t="s">
        <v>81</v>
      </c>
      <c r="BG1" s="30"/>
      <c r="BH1" s="22" t="s">
        <v>76</v>
      </c>
      <c r="BI1" s="23"/>
      <c r="BJ1" s="29" t="s">
        <v>81</v>
      </c>
      <c r="BK1" s="30"/>
      <c r="BL1" s="22" t="s">
        <v>76</v>
      </c>
      <c r="BM1" s="23"/>
      <c r="BN1" s="29" t="s">
        <v>84</v>
      </c>
      <c r="BO1" s="30"/>
      <c r="BP1" s="22" t="s">
        <v>76</v>
      </c>
      <c r="BQ1" s="23"/>
      <c r="BR1" s="26" t="s">
        <v>78</v>
      </c>
      <c r="BS1" s="29" t="s">
        <v>81</v>
      </c>
      <c r="BT1" s="30"/>
      <c r="BU1" s="22" t="s">
        <v>76</v>
      </c>
      <c r="BV1" s="23"/>
      <c r="BW1" s="29" t="s">
        <v>81</v>
      </c>
      <c r="BX1" s="30"/>
      <c r="BY1" s="22" t="s">
        <v>76</v>
      </c>
      <c r="BZ1" s="23"/>
      <c r="CA1" s="29" t="s">
        <v>81</v>
      </c>
      <c r="CB1" s="30"/>
      <c r="CC1" s="22" t="s">
        <v>76</v>
      </c>
      <c r="CD1" s="23"/>
      <c r="CE1" s="29" t="s">
        <v>85</v>
      </c>
      <c r="CF1" s="30"/>
      <c r="CG1" s="22" t="s">
        <v>76</v>
      </c>
      <c r="CH1" s="23"/>
      <c r="CI1" s="26" t="s">
        <v>78</v>
      </c>
      <c r="CJ1" s="29" t="s">
        <v>191</v>
      </c>
      <c r="CK1" s="30"/>
      <c r="CL1" s="22" t="s">
        <v>76</v>
      </c>
      <c r="CM1" s="23"/>
      <c r="CN1" s="29" t="s">
        <v>192</v>
      </c>
      <c r="CO1" s="30"/>
      <c r="CP1" s="22" t="s">
        <v>76</v>
      </c>
      <c r="CQ1" s="23"/>
      <c r="CR1" s="29" t="s">
        <v>193</v>
      </c>
      <c r="CS1" s="30"/>
      <c r="CT1" s="22" t="s">
        <v>76</v>
      </c>
      <c r="CU1" s="23"/>
      <c r="CV1" s="29" t="s">
        <v>86</v>
      </c>
      <c r="CW1" s="30"/>
      <c r="CX1" s="22" t="s">
        <v>76</v>
      </c>
      <c r="CY1" s="23"/>
      <c r="CZ1" s="26" t="s">
        <v>78</v>
      </c>
      <c r="DA1" s="29" t="s">
        <v>204</v>
      </c>
      <c r="DB1" s="30"/>
      <c r="DC1" s="22" t="s">
        <v>76</v>
      </c>
      <c r="DD1" s="23"/>
      <c r="DE1" s="29" t="s">
        <v>205</v>
      </c>
      <c r="DF1" s="30"/>
      <c r="DG1" s="22" t="s">
        <v>76</v>
      </c>
      <c r="DH1" s="23"/>
      <c r="DI1" s="29" t="s">
        <v>206</v>
      </c>
      <c r="DJ1" s="30"/>
      <c r="DK1" s="22" t="s">
        <v>76</v>
      </c>
      <c r="DL1" s="23"/>
      <c r="DM1" s="29" t="s">
        <v>87</v>
      </c>
      <c r="DN1" s="30"/>
      <c r="DO1" s="22" t="s">
        <v>76</v>
      </c>
      <c r="DP1" s="23"/>
      <c r="DQ1" s="26" t="s">
        <v>78</v>
      </c>
      <c r="DR1" s="29" t="s">
        <v>208</v>
      </c>
      <c r="DS1" s="30"/>
      <c r="DT1" s="22" t="s">
        <v>76</v>
      </c>
      <c r="DU1" s="23"/>
      <c r="DV1" s="29" t="s">
        <v>209</v>
      </c>
      <c r="DW1" s="30"/>
      <c r="DX1" s="22" t="s">
        <v>76</v>
      </c>
      <c r="DY1" s="23"/>
      <c r="DZ1" s="29" t="s">
        <v>210</v>
      </c>
      <c r="EA1" s="30"/>
      <c r="EB1" s="22" t="s">
        <v>76</v>
      </c>
      <c r="EC1" s="23"/>
      <c r="ED1" s="29" t="s">
        <v>88</v>
      </c>
      <c r="EE1" s="30"/>
      <c r="EF1" s="22" t="s">
        <v>76</v>
      </c>
      <c r="EG1" s="23"/>
      <c r="EH1" s="26" t="s">
        <v>78</v>
      </c>
      <c r="EI1" s="29" t="s">
        <v>211</v>
      </c>
      <c r="EJ1" s="30"/>
      <c r="EK1" s="22" t="s">
        <v>76</v>
      </c>
      <c r="EL1" s="23"/>
      <c r="EM1" s="29" t="s">
        <v>212</v>
      </c>
      <c r="EN1" s="30"/>
      <c r="EO1" s="22" t="s">
        <v>76</v>
      </c>
      <c r="EP1" s="23"/>
      <c r="EQ1" s="29" t="s">
        <v>213</v>
      </c>
      <c r="ER1" s="30"/>
      <c r="ES1" s="22" t="s">
        <v>76</v>
      </c>
      <c r="ET1" s="23"/>
      <c r="EU1" s="29" t="s">
        <v>89</v>
      </c>
      <c r="EV1" s="30"/>
      <c r="EW1" s="22" t="s">
        <v>76</v>
      </c>
      <c r="EX1" s="23"/>
      <c r="EY1" s="26" t="s">
        <v>78</v>
      </c>
      <c r="EZ1" s="29" t="s">
        <v>215</v>
      </c>
      <c r="FA1" s="30"/>
      <c r="FB1" s="22" t="s">
        <v>76</v>
      </c>
      <c r="FC1" s="23"/>
      <c r="FD1" s="29" t="s">
        <v>216</v>
      </c>
      <c r="FE1" s="30"/>
      <c r="FF1" s="22" t="s">
        <v>76</v>
      </c>
      <c r="FG1" s="23"/>
      <c r="FH1" s="29" t="s">
        <v>217</v>
      </c>
      <c r="FI1" s="30"/>
      <c r="FJ1" s="22" t="s">
        <v>76</v>
      </c>
      <c r="FK1" s="23"/>
      <c r="FL1" s="29" t="s">
        <v>90</v>
      </c>
      <c r="FM1" s="30"/>
      <c r="FN1" s="22" t="s">
        <v>76</v>
      </c>
      <c r="FO1" s="23"/>
      <c r="FP1" s="26" t="s">
        <v>78</v>
      </c>
      <c r="FQ1" s="29" t="s">
        <v>81</v>
      </c>
      <c r="FR1" s="30"/>
      <c r="FS1" s="22" t="s">
        <v>76</v>
      </c>
      <c r="FT1" s="23"/>
      <c r="FU1" s="29" t="s">
        <v>81</v>
      </c>
      <c r="FV1" s="30"/>
      <c r="FW1" s="22" t="s">
        <v>76</v>
      </c>
      <c r="FX1" s="23"/>
      <c r="FY1" s="29" t="s">
        <v>81</v>
      </c>
      <c r="FZ1" s="30"/>
      <c r="GA1" s="22" t="s">
        <v>76</v>
      </c>
      <c r="GB1" s="23"/>
      <c r="GC1" s="29" t="s">
        <v>91</v>
      </c>
      <c r="GD1" s="30"/>
      <c r="GE1" s="22" t="s">
        <v>76</v>
      </c>
      <c r="GF1" s="23"/>
      <c r="GG1" s="26" t="s">
        <v>78</v>
      </c>
      <c r="GH1" s="29" t="s">
        <v>81</v>
      </c>
      <c r="GI1" s="30"/>
      <c r="GJ1" s="22" t="s">
        <v>76</v>
      </c>
      <c r="GK1" s="23"/>
      <c r="GL1" s="29" t="s">
        <v>81</v>
      </c>
      <c r="GM1" s="30"/>
      <c r="GN1" s="22" t="s">
        <v>76</v>
      </c>
      <c r="GO1" s="23"/>
      <c r="GP1" s="29" t="s">
        <v>81</v>
      </c>
      <c r="GQ1" s="30"/>
      <c r="GR1" s="22" t="s">
        <v>76</v>
      </c>
      <c r="GS1" s="23"/>
      <c r="GT1" s="29" t="s">
        <v>92</v>
      </c>
      <c r="GU1" s="30"/>
      <c r="GV1" s="22" t="s">
        <v>76</v>
      </c>
      <c r="GW1" s="23"/>
      <c r="GX1" s="26" t="s">
        <v>78</v>
      </c>
      <c r="GY1" s="29" t="s">
        <v>81</v>
      </c>
      <c r="GZ1" s="30"/>
      <c r="HA1" s="22" t="s">
        <v>76</v>
      </c>
      <c r="HB1" s="23"/>
      <c r="HC1" s="29" t="s">
        <v>81</v>
      </c>
      <c r="HD1" s="30"/>
      <c r="HE1" s="22" t="s">
        <v>76</v>
      </c>
      <c r="HF1" s="23"/>
      <c r="HG1" s="29" t="s">
        <v>81</v>
      </c>
      <c r="HH1" s="30"/>
      <c r="HI1" s="22" t="s">
        <v>76</v>
      </c>
      <c r="HJ1" s="23"/>
      <c r="HK1" s="29" t="s">
        <v>81</v>
      </c>
      <c r="HL1" s="30"/>
      <c r="HM1" s="22" t="s">
        <v>76</v>
      </c>
      <c r="HN1" s="23"/>
      <c r="HO1" s="29" t="s">
        <v>81</v>
      </c>
      <c r="HP1" s="30"/>
      <c r="HQ1" s="22" t="s">
        <v>76</v>
      </c>
      <c r="HR1" s="23"/>
      <c r="HS1" s="29" t="s">
        <v>93</v>
      </c>
      <c r="HT1" s="30"/>
      <c r="HU1" s="22" t="s">
        <v>76</v>
      </c>
      <c r="HV1" s="23"/>
      <c r="HW1" s="26" t="s">
        <v>78</v>
      </c>
      <c r="HX1" s="29" t="s">
        <v>81</v>
      </c>
      <c r="HY1" s="30"/>
      <c r="HZ1" s="22" t="s">
        <v>76</v>
      </c>
      <c r="IA1" s="23"/>
      <c r="IB1" s="29" t="s">
        <v>81</v>
      </c>
      <c r="IC1" s="30"/>
      <c r="ID1" s="22" t="s">
        <v>76</v>
      </c>
      <c r="IE1" s="23"/>
      <c r="IF1" s="29" t="s">
        <v>81</v>
      </c>
      <c r="IG1" s="30"/>
      <c r="IH1" s="22" t="s">
        <v>76</v>
      </c>
      <c r="II1" s="23"/>
      <c r="IJ1" s="29" t="s">
        <v>81</v>
      </c>
      <c r="IK1" s="30"/>
      <c r="IL1" s="22" t="s">
        <v>76</v>
      </c>
      <c r="IM1" s="23"/>
      <c r="IN1" s="29" t="s">
        <v>81</v>
      </c>
      <c r="IO1" s="30"/>
      <c r="IP1" s="22" t="s">
        <v>76</v>
      </c>
      <c r="IQ1" s="23"/>
      <c r="IR1" s="29" t="s">
        <v>94</v>
      </c>
      <c r="IS1" s="30"/>
      <c r="IT1" s="22" t="s">
        <v>76</v>
      </c>
      <c r="IU1" s="23"/>
      <c r="IV1" s="26" t="s">
        <v>78</v>
      </c>
      <c r="IW1" s="29" t="s">
        <v>81</v>
      </c>
      <c r="IX1" s="30"/>
      <c r="IY1" s="22" t="s">
        <v>76</v>
      </c>
      <c r="IZ1" s="23"/>
      <c r="JA1" s="29" t="s">
        <v>81</v>
      </c>
      <c r="JB1" s="30"/>
      <c r="JC1" s="22" t="s">
        <v>76</v>
      </c>
      <c r="JD1" s="23"/>
      <c r="JE1" s="29" t="s">
        <v>81</v>
      </c>
      <c r="JF1" s="30"/>
      <c r="JG1" s="22" t="s">
        <v>76</v>
      </c>
      <c r="JH1" s="23"/>
      <c r="JI1" s="29" t="s">
        <v>81</v>
      </c>
      <c r="JJ1" s="30"/>
      <c r="JK1" s="22" t="s">
        <v>76</v>
      </c>
      <c r="JL1" s="23"/>
      <c r="JM1" s="29" t="s">
        <v>81</v>
      </c>
      <c r="JN1" s="30"/>
      <c r="JO1" s="22" t="s">
        <v>76</v>
      </c>
      <c r="JP1" s="23"/>
      <c r="JQ1" s="29" t="s">
        <v>95</v>
      </c>
      <c r="JR1" s="30"/>
      <c r="JS1" s="22" t="s">
        <v>76</v>
      </c>
      <c r="JT1" s="23"/>
      <c r="JU1" s="26" t="s">
        <v>78</v>
      </c>
      <c r="JV1" s="29" t="s">
        <v>81</v>
      </c>
      <c r="JW1" s="30"/>
      <c r="JX1" s="22" t="s">
        <v>76</v>
      </c>
      <c r="JY1" s="23"/>
      <c r="JZ1" s="29" t="s">
        <v>81</v>
      </c>
      <c r="KA1" s="30"/>
      <c r="KB1" s="22" t="s">
        <v>76</v>
      </c>
      <c r="KC1" s="23"/>
      <c r="KD1" s="29" t="s">
        <v>81</v>
      </c>
      <c r="KE1" s="30"/>
      <c r="KF1" s="22" t="s">
        <v>76</v>
      </c>
      <c r="KG1" s="23"/>
      <c r="KH1" s="29" t="s">
        <v>81</v>
      </c>
      <c r="KI1" s="30"/>
      <c r="KJ1" s="22" t="s">
        <v>76</v>
      </c>
      <c r="KK1" s="23"/>
      <c r="KL1" s="29" t="s">
        <v>81</v>
      </c>
      <c r="KM1" s="30"/>
      <c r="KN1" s="22" t="s">
        <v>76</v>
      </c>
      <c r="KO1" s="23"/>
      <c r="KP1" s="29" t="s">
        <v>96</v>
      </c>
      <c r="KQ1" s="30"/>
      <c r="KR1" s="22" t="s">
        <v>76</v>
      </c>
      <c r="KS1" s="23"/>
      <c r="KT1" s="26" t="s">
        <v>78</v>
      </c>
      <c r="KU1" s="29" t="s">
        <v>97</v>
      </c>
      <c r="KV1" s="30"/>
      <c r="KW1" s="22" t="s">
        <v>76</v>
      </c>
      <c r="KX1" s="23"/>
      <c r="KY1" s="26" t="s">
        <v>78</v>
      </c>
      <c r="KZ1" s="29" t="s">
        <v>81</v>
      </c>
      <c r="LA1" s="30"/>
      <c r="LB1" s="22" t="s">
        <v>76</v>
      </c>
      <c r="LC1" s="23"/>
      <c r="LD1" s="29" t="s">
        <v>81</v>
      </c>
      <c r="LE1" s="30"/>
      <c r="LF1" s="22" t="s">
        <v>76</v>
      </c>
      <c r="LG1" s="23"/>
      <c r="LH1" s="29" t="s">
        <v>98</v>
      </c>
      <c r="LI1" s="30"/>
      <c r="LJ1" s="22" t="s">
        <v>76</v>
      </c>
      <c r="LK1" s="23"/>
      <c r="LL1" s="26" t="s">
        <v>78</v>
      </c>
      <c r="LM1" s="29" t="s">
        <v>81</v>
      </c>
      <c r="LN1" s="30"/>
      <c r="LO1" s="22" t="s">
        <v>76</v>
      </c>
      <c r="LP1" s="23"/>
      <c r="LQ1" s="29" t="s">
        <v>81</v>
      </c>
      <c r="LR1" s="30"/>
      <c r="LS1" s="22" t="s">
        <v>76</v>
      </c>
      <c r="LT1" s="23"/>
      <c r="LU1" s="29" t="s">
        <v>99</v>
      </c>
      <c r="LV1" s="30"/>
      <c r="LW1" s="22" t="s">
        <v>76</v>
      </c>
      <c r="LX1" s="23"/>
      <c r="LY1" s="26" t="s">
        <v>78</v>
      </c>
      <c r="LZ1" s="29" t="s">
        <v>81</v>
      </c>
      <c r="MA1" s="30"/>
      <c r="MB1" s="22" t="s">
        <v>76</v>
      </c>
      <c r="MC1" s="23"/>
      <c r="MD1" s="29" t="s">
        <v>81</v>
      </c>
      <c r="ME1" s="30"/>
      <c r="MF1" s="22" t="s">
        <v>76</v>
      </c>
      <c r="MG1" s="23"/>
      <c r="MH1" s="29" t="s">
        <v>100</v>
      </c>
      <c r="MI1" s="30"/>
      <c r="MJ1" s="22" t="s">
        <v>76</v>
      </c>
      <c r="MK1" s="23"/>
      <c r="ML1" s="26" t="s">
        <v>78</v>
      </c>
      <c r="MM1" s="29" t="s">
        <v>81</v>
      </c>
      <c r="MN1" s="30"/>
      <c r="MO1" s="22" t="s">
        <v>76</v>
      </c>
      <c r="MP1" s="23"/>
      <c r="MQ1" s="29" t="s">
        <v>81</v>
      </c>
      <c r="MR1" s="30"/>
      <c r="MS1" s="22" t="s">
        <v>76</v>
      </c>
      <c r="MT1" s="23"/>
      <c r="MU1" s="29" t="s">
        <v>101</v>
      </c>
      <c r="MV1" s="30"/>
      <c r="MW1" s="22" t="s">
        <v>76</v>
      </c>
      <c r="MX1" s="23"/>
      <c r="MY1" s="26" t="s">
        <v>78</v>
      </c>
      <c r="MZ1" s="29" t="s">
        <v>81</v>
      </c>
      <c r="NA1" s="30"/>
      <c r="NB1" s="22" t="s">
        <v>76</v>
      </c>
      <c r="NC1" s="23"/>
      <c r="ND1" s="29" t="s">
        <v>81</v>
      </c>
      <c r="NE1" s="30"/>
      <c r="NF1" s="22" t="s">
        <v>76</v>
      </c>
      <c r="NG1" s="23"/>
      <c r="NH1" s="29" t="s">
        <v>102</v>
      </c>
      <c r="NI1" s="30"/>
      <c r="NJ1" s="22" t="s">
        <v>76</v>
      </c>
      <c r="NK1" s="23"/>
      <c r="NL1" s="26" t="s">
        <v>78</v>
      </c>
      <c r="NM1" s="29" t="s">
        <v>81</v>
      </c>
      <c r="NN1" s="30"/>
      <c r="NO1" s="22" t="s">
        <v>76</v>
      </c>
      <c r="NP1" s="23"/>
      <c r="NQ1" s="29" t="s">
        <v>103</v>
      </c>
      <c r="NR1" s="30"/>
      <c r="NS1" s="22" t="s">
        <v>76</v>
      </c>
      <c r="NT1" s="23"/>
      <c r="NU1" s="26" t="s">
        <v>78</v>
      </c>
      <c r="NV1" s="29" t="s">
        <v>81</v>
      </c>
      <c r="NW1" s="30"/>
      <c r="NX1" s="22" t="s">
        <v>76</v>
      </c>
      <c r="NY1" s="23"/>
      <c r="NZ1" s="29" t="s">
        <v>104</v>
      </c>
      <c r="OA1" s="30"/>
      <c r="OB1" s="22" t="s">
        <v>76</v>
      </c>
      <c r="OC1" s="23"/>
      <c r="OD1" s="26" t="s">
        <v>78</v>
      </c>
      <c r="OE1" s="29" t="s">
        <v>81</v>
      </c>
      <c r="OF1" s="30"/>
      <c r="OG1" s="22" t="s">
        <v>76</v>
      </c>
      <c r="OH1" s="23"/>
      <c r="OI1" s="29" t="s">
        <v>105</v>
      </c>
      <c r="OJ1" s="30"/>
      <c r="OK1" s="22" t="s">
        <v>76</v>
      </c>
      <c r="OL1" s="23"/>
      <c r="OM1" s="26" t="s">
        <v>78</v>
      </c>
      <c r="ON1" s="29" t="s">
        <v>81</v>
      </c>
      <c r="OO1" s="30"/>
      <c r="OP1" s="22" t="s">
        <v>76</v>
      </c>
      <c r="OQ1" s="23"/>
      <c r="OR1" s="29" t="s">
        <v>106</v>
      </c>
      <c r="OS1" s="30"/>
      <c r="OT1" s="22" t="s">
        <v>76</v>
      </c>
      <c r="OU1" s="23"/>
      <c r="OV1" s="26" t="s">
        <v>78</v>
      </c>
      <c r="OW1" s="29" t="s">
        <v>107</v>
      </c>
      <c r="OX1" s="30"/>
      <c r="OY1" s="22" t="s">
        <v>76</v>
      </c>
      <c r="OZ1" s="23"/>
      <c r="PA1" s="26" t="s">
        <v>78</v>
      </c>
      <c r="PB1" s="29" t="s">
        <v>108</v>
      </c>
      <c r="PC1" s="30"/>
      <c r="PD1" s="22" t="s">
        <v>76</v>
      </c>
      <c r="PE1" s="23"/>
      <c r="PF1" s="26" t="s">
        <v>78</v>
      </c>
      <c r="PG1" s="29" t="s">
        <v>81</v>
      </c>
      <c r="PH1" s="30"/>
      <c r="PI1" s="22" t="s">
        <v>76</v>
      </c>
      <c r="PJ1" s="23"/>
      <c r="PK1" s="29" t="s">
        <v>109</v>
      </c>
      <c r="PL1" s="30"/>
      <c r="PM1" s="22" t="s">
        <v>76</v>
      </c>
      <c r="PN1" s="23"/>
      <c r="PO1" s="26" t="s">
        <v>78</v>
      </c>
      <c r="PP1" s="29" t="s">
        <v>110</v>
      </c>
      <c r="PQ1" s="30"/>
      <c r="PR1" s="22" t="s">
        <v>76</v>
      </c>
      <c r="PS1" s="23"/>
      <c r="PT1" s="26" t="s">
        <v>78</v>
      </c>
      <c r="PU1" s="29" t="s">
        <v>111</v>
      </c>
      <c r="PV1" s="30"/>
      <c r="PW1" s="22" t="s">
        <v>76</v>
      </c>
      <c r="PX1" s="23"/>
      <c r="PY1" s="26" t="s">
        <v>78</v>
      </c>
      <c r="PZ1" s="29" t="s">
        <v>112</v>
      </c>
      <c r="QA1" s="30"/>
      <c r="QB1" s="22" t="s">
        <v>76</v>
      </c>
      <c r="QC1" s="23"/>
      <c r="QD1" s="26" t="s">
        <v>78</v>
      </c>
      <c r="QE1" s="29" t="s">
        <v>113</v>
      </c>
      <c r="QF1" s="30"/>
      <c r="QG1" s="22" t="s">
        <v>76</v>
      </c>
      <c r="QH1" s="23"/>
      <c r="QI1" s="26" t="s">
        <v>78</v>
      </c>
    </row>
    <row r="2" spans="1:451" ht="14.25" customHeight="1" x14ac:dyDescent="0.3">
      <c r="A2" s="27"/>
      <c r="B2" s="31"/>
      <c r="C2" s="32"/>
      <c r="D2" s="18">
        <v>2</v>
      </c>
      <c r="E2" s="19">
        <v>0</v>
      </c>
      <c r="F2" s="31"/>
      <c r="G2" s="32"/>
      <c r="H2" s="18">
        <v>2</v>
      </c>
      <c r="I2" s="19">
        <v>1</v>
      </c>
      <c r="J2" s="27"/>
      <c r="K2" s="31"/>
      <c r="L2" s="32"/>
      <c r="M2" s="18">
        <v>1</v>
      </c>
      <c r="N2" s="19">
        <v>1</v>
      </c>
      <c r="O2" s="31"/>
      <c r="P2" s="32"/>
      <c r="Q2" s="18">
        <v>4</v>
      </c>
      <c r="R2" s="19">
        <v>1</v>
      </c>
      <c r="S2" s="27"/>
      <c r="T2" s="31"/>
      <c r="U2" s="32"/>
      <c r="V2" s="18">
        <v>1</v>
      </c>
      <c r="W2" s="19">
        <v>1</v>
      </c>
      <c r="X2" s="31"/>
      <c r="Y2" s="32"/>
      <c r="Z2" s="18">
        <v>1</v>
      </c>
      <c r="AA2" s="19">
        <v>1</v>
      </c>
      <c r="AB2" s="31"/>
      <c r="AC2" s="32"/>
      <c r="AD2" s="18">
        <v>0</v>
      </c>
      <c r="AE2" s="19">
        <v>1</v>
      </c>
      <c r="AF2" s="31"/>
      <c r="AG2" s="32"/>
      <c r="AH2" s="18">
        <v>2</v>
      </c>
      <c r="AI2" s="19">
        <v>0</v>
      </c>
      <c r="AJ2" s="27"/>
      <c r="AK2" s="31"/>
      <c r="AL2" s="32"/>
      <c r="AM2" s="18">
        <v>7</v>
      </c>
      <c r="AN2" s="19">
        <v>1</v>
      </c>
      <c r="AO2" s="31"/>
      <c r="AP2" s="32"/>
      <c r="AQ2" s="18">
        <v>2</v>
      </c>
      <c r="AR2" s="19">
        <v>2</v>
      </c>
      <c r="AS2" s="31"/>
      <c r="AT2" s="32"/>
      <c r="AU2" s="18">
        <v>1</v>
      </c>
      <c r="AV2" s="19">
        <v>0</v>
      </c>
      <c r="AW2" s="31"/>
      <c r="AX2" s="32"/>
      <c r="AY2" s="18">
        <v>5</v>
      </c>
      <c r="AZ2" s="19">
        <v>1</v>
      </c>
      <c r="BA2" s="27"/>
      <c r="BB2" s="31"/>
      <c r="BC2" s="32"/>
      <c r="BD2" s="18">
        <v>0</v>
      </c>
      <c r="BE2" s="19">
        <v>0</v>
      </c>
      <c r="BF2" s="31"/>
      <c r="BG2" s="32"/>
      <c r="BH2" s="18">
        <v>1</v>
      </c>
      <c r="BI2" s="19">
        <v>1</v>
      </c>
      <c r="BJ2" s="31"/>
      <c r="BK2" s="32"/>
      <c r="BL2" s="18">
        <v>1</v>
      </c>
      <c r="BM2" s="19">
        <v>1</v>
      </c>
      <c r="BN2" s="31"/>
      <c r="BO2" s="32"/>
      <c r="BP2" s="18">
        <v>2</v>
      </c>
      <c r="BQ2" s="19">
        <v>2</v>
      </c>
      <c r="BR2" s="27"/>
      <c r="BS2" s="31"/>
      <c r="BT2" s="32"/>
      <c r="BU2" s="18">
        <v>3</v>
      </c>
      <c r="BV2" s="19">
        <v>1</v>
      </c>
      <c r="BW2" s="31"/>
      <c r="BX2" s="32"/>
      <c r="BY2" s="18">
        <v>1</v>
      </c>
      <c r="BZ2" s="19">
        <v>4</v>
      </c>
      <c r="CA2" s="31"/>
      <c r="CB2" s="32"/>
      <c r="CC2" s="18">
        <v>3</v>
      </c>
      <c r="CD2" s="19">
        <v>0</v>
      </c>
      <c r="CE2" s="31"/>
      <c r="CF2" s="32"/>
      <c r="CG2" s="18">
        <v>3</v>
      </c>
      <c r="CH2" s="19">
        <v>1</v>
      </c>
      <c r="CI2" s="27"/>
      <c r="CJ2" s="31"/>
      <c r="CK2" s="32"/>
      <c r="CL2" s="18">
        <v>1</v>
      </c>
      <c r="CM2" s="19">
        <v>1</v>
      </c>
      <c r="CN2" s="31"/>
      <c r="CO2" s="32"/>
      <c r="CP2" s="18">
        <v>4</v>
      </c>
      <c r="CQ2" s="19">
        <v>2</v>
      </c>
      <c r="CR2" s="31"/>
      <c r="CS2" s="32"/>
      <c r="CT2" s="18">
        <v>1</v>
      </c>
      <c r="CU2" s="19">
        <v>0</v>
      </c>
      <c r="CV2" s="31"/>
      <c r="CW2" s="32"/>
      <c r="CX2" s="18">
        <v>1</v>
      </c>
      <c r="CY2" s="19">
        <v>3</v>
      </c>
      <c r="CZ2" s="27"/>
      <c r="DA2" s="31"/>
      <c r="DB2" s="32"/>
      <c r="DC2" s="18">
        <v>1</v>
      </c>
      <c r="DD2" s="19">
        <v>1</v>
      </c>
      <c r="DE2" s="31"/>
      <c r="DF2" s="32"/>
      <c r="DG2" s="18">
        <v>4</v>
      </c>
      <c r="DH2" s="19">
        <v>1</v>
      </c>
      <c r="DI2" s="31"/>
      <c r="DJ2" s="32"/>
      <c r="DK2" s="18">
        <v>6</v>
      </c>
      <c r="DL2" s="19">
        <v>0</v>
      </c>
      <c r="DM2" s="31"/>
      <c r="DN2" s="32"/>
      <c r="DO2" s="18">
        <v>1</v>
      </c>
      <c r="DP2" s="19">
        <v>0</v>
      </c>
      <c r="DQ2" s="27"/>
      <c r="DR2" s="31"/>
      <c r="DS2" s="32"/>
      <c r="DT2" s="18">
        <v>2</v>
      </c>
      <c r="DU2" s="19">
        <v>0</v>
      </c>
      <c r="DV2" s="31"/>
      <c r="DW2" s="32"/>
      <c r="DX2" s="18">
        <v>0</v>
      </c>
      <c r="DY2" s="19">
        <v>1</v>
      </c>
      <c r="DZ2" s="31"/>
      <c r="EA2" s="32"/>
      <c r="EB2" s="18">
        <v>3</v>
      </c>
      <c r="EC2" s="19">
        <v>0</v>
      </c>
      <c r="ED2" s="31"/>
      <c r="EE2" s="32"/>
      <c r="EF2" s="18">
        <v>0</v>
      </c>
      <c r="EG2" s="19">
        <v>1</v>
      </c>
      <c r="EH2" s="27"/>
      <c r="EI2" s="31"/>
      <c r="EJ2" s="32"/>
      <c r="EK2" s="18">
        <v>5</v>
      </c>
      <c r="EL2" s="19">
        <v>1</v>
      </c>
      <c r="EM2" s="31"/>
      <c r="EN2" s="32"/>
      <c r="EO2" s="18">
        <v>2</v>
      </c>
      <c r="EP2" s="19">
        <v>1</v>
      </c>
      <c r="EQ2" s="31"/>
      <c r="ER2" s="32"/>
      <c r="ES2" s="18">
        <v>0</v>
      </c>
      <c r="ET2" s="19">
        <v>0</v>
      </c>
      <c r="EU2" s="31"/>
      <c r="EV2" s="32"/>
      <c r="EW2" s="18">
        <v>0</v>
      </c>
      <c r="EX2" s="19">
        <v>4</v>
      </c>
      <c r="EY2" s="27"/>
      <c r="EZ2" s="31"/>
      <c r="FA2" s="32"/>
      <c r="FB2" s="18"/>
      <c r="FC2" s="19"/>
      <c r="FD2" s="31"/>
      <c r="FE2" s="32"/>
      <c r="FF2" s="18"/>
      <c r="FG2" s="19"/>
      <c r="FH2" s="31"/>
      <c r="FI2" s="32"/>
      <c r="FJ2" s="18"/>
      <c r="FK2" s="19"/>
      <c r="FL2" s="31"/>
      <c r="FM2" s="32"/>
      <c r="FN2" s="18"/>
      <c r="FO2" s="19"/>
      <c r="FP2" s="27"/>
      <c r="FQ2" s="31"/>
      <c r="FR2" s="32"/>
      <c r="FS2" s="18"/>
      <c r="FT2" s="19"/>
      <c r="FU2" s="31"/>
      <c r="FV2" s="32"/>
      <c r="FW2" s="18"/>
      <c r="FX2" s="19"/>
      <c r="FY2" s="31"/>
      <c r="FZ2" s="32"/>
      <c r="GA2" s="18"/>
      <c r="GB2" s="19"/>
      <c r="GC2" s="31"/>
      <c r="GD2" s="32"/>
      <c r="GE2" s="18"/>
      <c r="GF2" s="19"/>
      <c r="GG2" s="27"/>
      <c r="GH2" s="31"/>
      <c r="GI2" s="32"/>
      <c r="GJ2" s="18"/>
      <c r="GK2" s="19"/>
      <c r="GL2" s="31"/>
      <c r="GM2" s="32"/>
      <c r="GN2" s="18"/>
      <c r="GO2" s="19"/>
      <c r="GP2" s="31"/>
      <c r="GQ2" s="32"/>
      <c r="GR2" s="18"/>
      <c r="GS2" s="19"/>
      <c r="GT2" s="31"/>
      <c r="GU2" s="32"/>
      <c r="GV2" s="18"/>
      <c r="GW2" s="19"/>
      <c r="GX2" s="27"/>
      <c r="GY2" s="31"/>
      <c r="GZ2" s="32"/>
      <c r="HA2" s="18"/>
      <c r="HB2" s="19"/>
      <c r="HC2" s="31"/>
      <c r="HD2" s="32"/>
      <c r="HE2" s="18"/>
      <c r="HF2" s="19"/>
      <c r="HG2" s="31"/>
      <c r="HH2" s="32"/>
      <c r="HI2" s="18"/>
      <c r="HJ2" s="19"/>
      <c r="HK2" s="31"/>
      <c r="HL2" s="32"/>
      <c r="HM2" s="18"/>
      <c r="HN2" s="19"/>
      <c r="HO2" s="31"/>
      <c r="HP2" s="32"/>
      <c r="HQ2" s="18"/>
      <c r="HR2" s="19"/>
      <c r="HS2" s="31"/>
      <c r="HT2" s="32"/>
      <c r="HU2" s="18"/>
      <c r="HV2" s="19"/>
      <c r="HW2" s="27"/>
      <c r="HX2" s="31"/>
      <c r="HY2" s="32"/>
      <c r="HZ2" s="18"/>
      <c r="IA2" s="19"/>
      <c r="IB2" s="31"/>
      <c r="IC2" s="32"/>
      <c r="ID2" s="18"/>
      <c r="IE2" s="19"/>
      <c r="IF2" s="31"/>
      <c r="IG2" s="32"/>
      <c r="IH2" s="18"/>
      <c r="II2" s="19"/>
      <c r="IJ2" s="31"/>
      <c r="IK2" s="32"/>
      <c r="IL2" s="18"/>
      <c r="IM2" s="19"/>
      <c r="IN2" s="31"/>
      <c r="IO2" s="32"/>
      <c r="IP2" s="18"/>
      <c r="IQ2" s="19"/>
      <c r="IR2" s="31"/>
      <c r="IS2" s="32"/>
      <c r="IT2" s="18"/>
      <c r="IU2" s="19"/>
      <c r="IV2" s="27"/>
      <c r="IW2" s="31"/>
      <c r="IX2" s="32"/>
      <c r="IY2" s="18"/>
      <c r="IZ2" s="19"/>
      <c r="JA2" s="31"/>
      <c r="JB2" s="32"/>
      <c r="JC2" s="18"/>
      <c r="JD2" s="19"/>
      <c r="JE2" s="31"/>
      <c r="JF2" s="32"/>
      <c r="JG2" s="18"/>
      <c r="JH2" s="19"/>
      <c r="JI2" s="31"/>
      <c r="JJ2" s="32"/>
      <c r="JK2" s="18"/>
      <c r="JL2" s="19"/>
      <c r="JM2" s="31"/>
      <c r="JN2" s="32"/>
      <c r="JO2" s="18"/>
      <c r="JP2" s="19"/>
      <c r="JQ2" s="31"/>
      <c r="JR2" s="32"/>
      <c r="JS2" s="18"/>
      <c r="JT2" s="19"/>
      <c r="JU2" s="27"/>
      <c r="JV2" s="31"/>
      <c r="JW2" s="32"/>
      <c r="JX2" s="18"/>
      <c r="JY2" s="19"/>
      <c r="JZ2" s="31"/>
      <c r="KA2" s="32"/>
      <c r="KB2" s="18"/>
      <c r="KC2" s="19"/>
      <c r="KD2" s="31"/>
      <c r="KE2" s="32"/>
      <c r="KF2" s="18"/>
      <c r="KG2" s="19"/>
      <c r="KH2" s="31"/>
      <c r="KI2" s="32"/>
      <c r="KJ2" s="18"/>
      <c r="KK2" s="19"/>
      <c r="KL2" s="31"/>
      <c r="KM2" s="32"/>
      <c r="KN2" s="18"/>
      <c r="KO2" s="19"/>
      <c r="KP2" s="31"/>
      <c r="KQ2" s="32"/>
      <c r="KR2" s="18"/>
      <c r="KS2" s="19"/>
      <c r="KT2" s="27"/>
      <c r="KU2" s="31"/>
      <c r="KV2" s="32"/>
      <c r="KW2" s="18"/>
      <c r="KX2" s="19"/>
      <c r="KY2" s="27"/>
      <c r="KZ2" s="31"/>
      <c r="LA2" s="32"/>
      <c r="LB2" s="18"/>
      <c r="LC2" s="19"/>
      <c r="LD2" s="31"/>
      <c r="LE2" s="32"/>
      <c r="LF2" s="18"/>
      <c r="LG2" s="19"/>
      <c r="LH2" s="31"/>
      <c r="LI2" s="32"/>
      <c r="LJ2" s="18"/>
      <c r="LK2" s="19"/>
      <c r="LL2" s="27"/>
      <c r="LM2" s="31"/>
      <c r="LN2" s="32"/>
      <c r="LO2" s="18"/>
      <c r="LP2" s="19"/>
      <c r="LQ2" s="31"/>
      <c r="LR2" s="32"/>
      <c r="LS2" s="18"/>
      <c r="LT2" s="19"/>
      <c r="LU2" s="31"/>
      <c r="LV2" s="32"/>
      <c r="LW2" s="18"/>
      <c r="LX2" s="19"/>
      <c r="LY2" s="27"/>
      <c r="LZ2" s="31"/>
      <c r="MA2" s="32"/>
      <c r="MB2" s="18"/>
      <c r="MC2" s="19"/>
      <c r="MD2" s="31"/>
      <c r="ME2" s="32"/>
      <c r="MF2" s="18"/>
      <c r="MG2" s="19"/>
      <c r="MH2" s="31"/>
      <c r="MI2" s="32"/>
      <c r="MJ2" s="18"/>
      <c r="MK2" s="19"/>
      <c r="ML2" s="27"/>
      <c r="MM2" s="31"/>
      <c r="MN2" s="32"/>
      <c r="MO2" s="18"/>
      <c r="MP2" s="19"/>
      <c r="MQ2" s="31"/>
      <c r="MR2" s="32"/>
      <c r="MS2" s="18"/>
      <c r="MT2" s="19"/>
      <c r="MU2" s="31"/>
      <c r="MV2" s="32"/>
      <c r="MW2" s="18"/>
      <c r="MX2" s="19"/>
      <c r="MY2" s="27"/>
      <c r="MZ2" s="31"/>
      <c r="NA2" s="32"/>
      <c r="NB2" s="18"/>
      <c r="NC2" s="19"/>
      <c r="ND2" s="31"/>
      <c r="NE2" s="32"/>
      <c r="NF2" s="18"/>
      <c r="NG2" s="19"/>
      <c r="NH2" s="31"/>
      <c r="NI2" s="32"/>
      <c r="NJ2" s="18"/>
      <c r="NK2" s="19"/>
      <c r="NL2" s="27"/>
      <c r="NM2" s="31"/>
      <c r="NN2" s="32"/>
      <c r="NO2" s="18"/>
      <c r="NP2" s="19"/>
      <c r="NQ2" s="31"/>
      <c r="NR2" s="32"/>
      <c r="NS2" s="18"/>
      <c r="NT2" s="19"/>
      <c r="NU2" s="27"/>
      <c r="NV2" s="31"/>
      <c r="NW2" s="32"/>
      <c r="NX2" s="18"/>
      <c r="NY2" s="19"/>
      <c r="NZ2" s="31"/>
      <c r="OA2" s="32"/>
      <c r="OB2" s="18"/>
      <c r="OC2" s="19"/>
      <c r="OD2" s="27"/>
      <c r="OE2" s="31"/>
      <c r="OF2" s="32"/>
      <c r="OG2" s="18"/>
      <c r="OH2" s="19"/>
      <c r="OI2" s="31"/>
      <c r="OJ2" s="32"/>
      <c r="OK2" s="18"/>
      <c r="OL2" s="19"/>
      <c r="OM2" s="27"/>
      <c r="ON2" s="31"/>
      <c r="OO2" s="32"/>
      <c r="OP2" s="18"/>
      <c r="OQ2" s="19"/>
      <c r="OR2" s="31"/>
      <c r="OS2" s="32"/>
      <c r="OT2" s="18"/>
      <c r="OU2" s="19"/>
      <c r="OV2" s="27"/>
      <c r="OW2" s="31"/>
      <c r="OX2" s="32"/>
      <c r="OY2" s="18"/>
      <c r="OZ2" s="19"/>
      <c r="PA2" s="27"/>
      <c r="PB2" s="31"/>
      <c r="PC2" s="32"/>
      <c r="PD2" s="18"/>
      <c r="PE2" s="19"/>
      <c r="PF2" s="27"/>
      <c r="PG2" s="31"/>
      <c r="PH2" s="32"/>
      <c r="PI2" s="18"/>
      <c r="PJ2" s="19"/>
      <c r="PK2" s="31"/>
      <c r="PL2" s="32"/>
      <c r="PM2" s="18"/>
      <c r="PN2" s="19"/>
      <c r="PO2" s="27"/>
      <c r="PP2" s="31"/>
      <c r="PQ2" s="32"/>
      <c r="PR2" s="18"/>
      <c r="PS2" s="19"/>
      <c r="PT2" s="27"/>
      <c r="PU2" s="31"/>
      <c r="PV2" s="32"/>
      <c r="PW2" s="18"/>
      <c r="PX2" s="19"/>
      <c r="PY2" s="27"/>
      <c r="PZ2" s="31"/>
      <c r="QA2" s="32"/>
      <c r="QB2" s="18"/>
      <c r="QC2" s="19"/>
      <c r="QD2" s="27"/>
      <c r="QE2" s="31"/>
      <c r="QF2" s="32"/>
      <c r="QG2" s="18"/>
      <c r="QH2" s="19"/>
      <c r="QI2" s="27"/>
    </row>
    <row r="3" spans="1:451" ht="14.25" customHeight="1" x14ac:dyDescent="0.3">
      <c r="A3" s="28"/>
      <c r="B3" s="10" t="s">
        <v>114</v>
      </c>
      <c r="C3" s="10" t="s">
        <v>115</v>
      </c>
      <c r="D3" s="25" t="s">
        <v>116</v>
      </c>
      <c r="E3" s="23"/>
      <c r="F3" s="10" t="s">
        <v>117</v>
      </c>
      <c r="G3" s="10" t="s">
        <v>118</v>
      </c>
      <c r="H3" s="25" t="s">
        <v>116</v>
      </c>
      <c r="I3" s="23"/>
      <c r="J3" s="28"/>
      <c r="K3" s="10" t="s">
        <v>122</v>
      </c>
      <c r="L3" s="10" t="s">
        <v>123</v>
      </c>
      <c r="M3" s="25" t="s">
        <v>116</v>
      </c>
      <c r="N3" s="23"/>
      <c r="O3" s="10" t="s">
        <v>124</v>
      </c>
      <c r="P3" s="10" t="s">
        <v>125</v>
      </c>
      <c r="Q3" s="25" t="s">
        <v>116</v>
      </c>
      <c r="R3" s="23"/>
      <c r="S3" s="28"/>
      <c r="T3" s="10" t="s">
        <v>126</v>
      </c>
      <c r="U3" s="10" t="s">
        <v>127</v>
      </c>
      <c r="V3" s="25" t="s">
        <v>116</v>
      </c>
      <c r="W3" s="23"/>
      <c r="X3" s="10" t="s">
        <v>61</v>
      </c>
      <c r="Y3" s="10" t="s">
        <v>128</v>
      </c>
      <c r="Z3" s="25" t="s">
        <v>116</v>
      </c>
      <c r="AA3" s="23"/>
      <c r="AB3" s="10" t="s">
        <v>131</v>
      </c>
      <c r="AC3" s="10" t="s">
        <v>132</v>
      </c>
      <c r="AD3" s="25" t="s">
        <v>116</v>
      </c>
      <c r="AE3" s="23"/>
      <c r="AF3" s="10" t="s">
        <v>129</v>
      </c>
      <c r="AG3" s="10" t="s">
        <v>130</v>
      </c>
      <c r="AH3" s="25" t="s">
        <v>116</v>
      </c>
      <c r="AI3" s="23"/>
      <c r="AJ3" s="28"/>
      <c r="AK3" s="10" t="s">
        <v>71</v>
      </c>
      <c r="AL3" s="10" t="s">
        <v>136</v>
      </c>
      <c r="AM3" s="25" t="s">
        <v>116</v>
      </c>
      <c r="AN3" s="23"/>
      <c r="AO3" s="10" t="s">
        <v>137</v>
      </c>
      <c r="AP3" s="10" t="s">
        <v>138</v>
      </c>
      <c r="AQ3" s="25" t="s">
        <v>116</v>
      </c>
      <c r="AR3" s="23"/>
      <c r="AS3" s="10" t="s">
        <v>139</v>
      </c>
      <c r="AT3" s="10" t="s">
        <v>140</v>
      </c>
      <c r="AU3" s="25" t="s">
        <v>116</v>
      </c>
      <c r="AV3" s="23"/>
      <c r="AW3" s="10" t="s">
        <v>141</v>
      </c>
      <c r="AX3" s="10" t="s">
        <v>142</v>
      </c>
      <c r="AY3" s="25" t="s">
        <v>116</v>
      </c>
      <c r="AZ3" s="23"/>
      <c r="BA3" s="28"/>
      <c r="BB3" s="10" t="s">
        <v>55</v>
      </c>
      <c r="BC3" s="10" t="s">
        <v>179</v>
      </c>
      <c r="BD3" s="25" t="s">
        <v>116</v>
      </c>
      <c r="BE3" s="23"/>
      <c r="BF3" s="10" t="s">
        <v>47</v>
      </c>
      <c r="BG3" s="10" t="s">
        <v>180</v>
      </c>
      <c r="BH3" s="25" t="s">
        <v>116</v>
      </c>
      <c r="BI3" s="23"/>
      <c r="BJ3" s="10" t="s">
        <v>181</v>
      </c>
      <c r="BK3" s="10" t="s">
        <v>182</v>
      </c>
      <c r="BL3" s="25" t="s">
        <v>116</v>
      </c>
      <c r="BM3" s="23"/>
      <c r="BN3" s="10" t="s">
        <v>183</v>
      </c>
      <c r="BO3" s="10" t="s">
        <v>184</v>
      </c>
      <c r="BP3" s="25" t="s">
        <v>116</v>
      </c>
      <c r="BQ3" s="23"/>
      <c r="BR3" s="28"/>
      <c r="BS3" s="10" t="s">
        <v>43</v>
      </c>
      <c r="BT3" s="10" t="s">
        <v>185</v>
      </c>
      <c r="BU3" s="25" t="s">
        <v>116</v>
      </c>
      <c r="BV3" s="23"/>
      <c r="BW3" s="10" t="s">
        <v>186</v>
      </c>
      <c r="BX3" s="10" t="s">
        <v>187</v>
      </c>
      <c r="BY3" s="25" t="s">
        <v>116</v>
      </c>
      <c r="BZ3" s="23"/>
      <c r="CA3" s="10" t="s">
        <v>54</v>
      </c>
      <c r="CB3" s="10" t="s">
        <v>188</v>
      </c>
      <c r="CC3" s="25" t="s">
        <v>116</v>
      </c>
      <c r="CD3" s="23"/>
      <c r="CE3" s="10" t="s">
        <v>189</v>
      </c>
      <c r="CF3" s="10" t="s">
        <v>190</v>
      </c>
      <c r="CG3" s="25" t="s">
        <v>116</v>
      </c>
      <c r="CH3" s="23"/>
      <c r="CI3" s="28"/>
      <c r="CJ3" s="10" t="s">
        <v>194</v>
      </c>
      <c r="CK3" s="10" t="s">
        <v>195</v>
      </c>
      <c r="CL3" s="25" t="s">
        <v>116</v>
      </c>
      <c r="CM3" s="23"/>
      <c r="CN3" s="10" t="s">
        <v>196</v>
      </c>
      <c r="CO3" s="10" t="s">
        <v>197</v>
      </c>
      <c r="CP3" s="25" t="s">
        <v>116</v>
      </c>
      <c r="CQ3" s="23"/>
      <c r="CR3" s="10" t="s">
        <v>198</v>
      </c>
      <c r="CS3" s="10" t="s">
        <v>199</v>
      </c>
      <c r="CT3" s="25" t="s">
        <v>116</v>
      </c>
      <c r="CU3" s="23"/>
      <c r="CV3" s="10" t="s">
        <v>200</v>
      </c>
      <c r="CW3" s="10" t="s">
        <v>51</v>
      </c>
      <c r="CX3" s="25" t="s">
        <v>116</v>
      </c>
      <c r="CY3" s="23"/>
      <c r="CZ3" s="28"/>
      <c r="DA3" s="10" t="s">
        <v>118</v>
      </c>
      <c r="DB3" s="10" t="s">
        <v>201</v>
      </c>
      <c r="DC3" s="25" t="s">
        <v>116</v>
      </c>
      <c r="DD3" s="23"/>
      <c r="DE3" s="10" t="s">
        <v>127</v>
      </c>
      <c r="DF3" s="10" t="s">
        <v>202</v>
      </c>
      <c r="DG3" s="25" t="s">
        <v>116</v>
      </c>
      <c r="DH3" s="23"/>
      <c r="DI3" s="10" t="s">
        <v>203</v>
      </c>
      <c r="DJ3" s="10" t="s">
        <v>126</v>
      </c>
      <c r="DK3" s="25" t="s">
        <v>116</v>
      </c>
      <c r="DL3" s="23"/>
      <c r="DM3" s="10" t="s">
        <v>114</v>
      </c>
      <c r="DN3" s="10" t="s">
        <v>117</v>
      </c>
      <c r="DO3" s="25" t="s">
        <v>116</v>
      </c>
      <c r="DP3" s="23"/>
      <c r="DQ3" s="28"/>
      <c r="DR3" s="10" t="s">
        <v>124</v>
      </c>
      <c r="DS3" s="10" t="s">
        <v>129</v>
      </c>
      <c r="DT3" s="25" t="s">
        <v>116</v>
      </c>
      <c r="DU3" s="23"/>
      <c r="DV3" s="10" t="s">
        <v>132</v>
      </c>
      <c r="DW3" s="10" t="s">
        <v>128</v>
      </c>
      <c r="DX3" s="25" t="s">
        <v>116</v>
      </c>
      <c r="DY3" s="23"/>
      <c r="DZ3" s="10" t="s">
        <v>61</v>
      </c>
      <c r="EA3" s="10" t="s">
        <v>131</v>
      </c>
      <c r="EB3" s="25" t="s">
        <v>116</v>
      </c>
      <c r="EC3" s="23"/>
      <c r="ED3" s="10" t="s">
        <v>207</v>
      </c>
      <c r="EE3" s="10" t="s">
        <v>125</v>
      </c>
      <c r="EF3" s="25" t="s">
        <v>116</v>
      </c>
      <c r="EG3" s="23"/>
      <c r="EH3" s="28"/>
      <c r="EI3" s="10" t="s">
        <v>137</v>
      </c>
      <c r="EJ3" s="10" t="s">
        <v>141</v>
      </c>
      <c r="EK3" s="25" t="s">
        <v>116</v>
      </c>
      <c r="EL3" s="23"/>
      <c r="EM3" s="10" t="s">
        <v>71</v>
      </c>
      <c r="EN3" s="10" t="s">
        <v>139</v>
      </c>
      <c r="EO3" s="25" t="s">
        <v>116</v>
      </c>
      <c r="EP3" s="23"/>
      <c r="EQ3" s="10" t="s">
        <v>140</v>
      </c>
      <c r="ER3" s="10" t="s">
        <v>136</v>
      </c>
      <c r="ES3" s="25" t="s">
        <v>116</v>
      </c>
      <c r="ET3" s="23"/>
      <c r="EU3" s="10" t="s">
        <v>142</v>
      </c>
      <c r="EV3" s="10" t="s">
        <v>214</v>
      </c>
      <c r="EW3" s="25" t="s">
        <v>116</v>
      </c>
      <c r="EX3" s="23"/>
      <c r="EY3" s="28"/>
      <c r="EZ3" s="10" t="s">
        <v>55</v>
      </c>
      <c r="FA3" s="10" t="s">
        <v>181</v>
      </c>
      <c r="FB3" s="25" t="s">
        <v>116</v>
      </c>
      <c r="FC3" s="23"/>
      <c r="FD3" s="10" t="s">
        <v>47</v>
      </c>
      <c r="FE3" s="10" t="s">
        <v>183</v>
      </c>
      <c r="FF3" s="25" t="s">
        <v>116</v>
      </c>
      <c r="FG3" s="23"/>
      <c r="FH3" s="10" t="s">
        <v>182</v>
      </c>
      <c r="FI3" s="10" t="s">
        <v>218</v>
      </c>
      <c r="FJ3" s="25" t="s">
        <v>116</v>
      </c>
      <c r="FK3" s="23"/>
      <c r="FL3" s="10" t="s">
        <v>184</v>
      </c>
      <c r="FM3" s="10" t="s">
        <v>180</v>
      </c>
      <c r="FN3" s="25" t="s">
        <v>116</v>
      </c>
      <c r="FO3" s="23"/>
      <c r="FP3" s="28"/>
      <c r="FQ3" s="10"/>
      <c r="FR3" s="10"/>
      <c r="FS3" s="25" t="s">
        <v>116</v>
      </c>
      <c r="FT3" s="23"/>
      <c r="FU3" s="10"/>
      <c r="FV3" s="10"/>
      <c r="FW3" s="25" t="s">
        <v>116</v>
      </c>
      <c r="FX3" s="23"/>
      <c r="FY3" s="10"/>
      <c r="FZ3" s="10"/>
      <c r="GA3" s="25" t="s">
        <v>116</v>
      </c>
      <c r="GB3" s="23"/>
      <c r="GC3" s="10"/>
      <c r="GD3" s="10"/>
      <c r="GE3" s="25" t="s">
        <v>116</v>
      </c>
      <c r="GF3" s="23"/>
      <c r="GG3" s="28"/>
      <c r="GH3" s="10"/>
      <c r="GI3" s="10"/>
      <c r="GJ3" s="25" t="s">
        <v>116</v>
      </c>
      <c r="GK3" s="23"/>
      <c r="GL3" s="10"/>
      <c r="GM3" s="10"/>
      <c r="GN3" s="25" t="s">
        <v>116</v>
      </c>
      <c r="GO3" s="23"/>
      <c r="GP3" s="10"/>
      <c r="GQ3" s="10"/>
      <c r="GR3" s="25" t="s">
        <v>116</v>
      </c>
      <c r="GS3" s="23"/>
      <c r="GT3" s="10"/>
      <c r="GU3" s="10"/>
      <c r="GV3" s="25" t="s">
        <v>116</v>
      </c>
      <c r="GW3" s="23"/>
      <c r="GX3" s="28"/>
      <c r="GY3" s="10"/>
      <c r="GZ3" s="10"/>
      <c r="HA3" s="25" t="s">
        <v>116</v>
      </c>
      <c r="HB3" s="23"/>
      <c r="HC3" s="10"/>
      <c r="HD3" s="10"/>
      <c r="HE3" s="25" t="s">
        <v>116</v>
      </c>
      <c r="HF3" s="23"/>
      <c r="HG3" s="10"/>
      <c r="HH3" s="10"/>
      <c r="HI3" s="25" t="s">
        <v>116</v>
      </c>
      <c r="HJ3" s="23"/>
      <c r="HK3" s="10"/>
      <c r="HL3" s="10"/>
      <c r="HM3" s="25" t="s">
        <v>116</v>
      </c>
      <c r="HN3" s="23"/>
      <c r="HO3" s="10"/>
      <c r="HP3" s="10"/>
      <c r="HQ3" s="25" t="s">
        <v>116</v>
      </c>
      <c r="HR3" s="23"/>
      <c r="HS3" s="10"/>
      <c r="HT3" s="10"/>
      <c r="HU3" s="25" t="s">
        <v>116</v>
      </c>
      <c r="HV3" s="23"/>
      <c r="HW3" s="28"/>
      <c r="HX3" s="10"/>
      <c r="HY3" s="10"/>
      <c r="HZ3" s="25" t="s">
        <v>116</v>
      </c>
      <c r="IA3" s="23"/>
      <c r="IB3" s="10"/>
      <c r="IC3" s="10"/>
      <c r="ID3" s="25" t="s">
        <v>116</v>
      </c>
      <c r="IE3" s="23"/>
      <c r="IF3" s="10"/>
      <c r="IG3" s="10"/>
      <c r="IH3" s="25" t="s">
        <v>116</v>
      </c>
      <c r="II3" s="23"/>
      <c r="IJ3" s="10"/>
      <c r="IK3" s="10"/>
      <c r="IL3" s="25" t="s">
        <v>116</v>
      </c>
      <c r="IM3" s="23"/>
      <c r="IN3" s="10"/>
      <c r="IO3" s="10"/>
      <c r="IP3" s="25" t="s">
        <v>116</v>
      </c>
      <c r="IQ3" s="23"/>
      <c r="IR3" s="10"/>
      <c r="IS3" s="10"/>
      <c r="IT3" s="25" t="s">
        <v>116</v>
      </c>
      <c r="IU3" s="23"/>
      <c r="IV3" s="28"/>
      <c r="IW3" s="10"/>
      <c r="IX3" s="10"/>
      <c r="IY3" s="25" t="s">
        <v>116</v>
      </c>
      <c r="IZ3" s="23"/>
      <c r="JA3" s="10"/>
      <c r="JB3" s="10"/>
      <c r="JC3" s="25" t="s">
        <v>116</v>
      </c>
      <c r="JD3" s="23"/>
      <c r="JE3" s="10"/>
      <c r="JF3" s="10"/>
      <c r="JG3" s="25" t="s">
        <v>116</v>
      </c>
      <c r="JH3" s="23"/>
      <c r="JI3" s="10"/>
      <c r="JJ3" s="10"/>
      <c r="JK3" s="25" t="s">
        <v>116</v>
      </c>
      <c r="JL3" s="23"/>
      <c r="JM3" s="10"/>
      <c r="JN3" s="10"/>
      <c r="JO3" s="25" t="s">
        <v>116</v>
      </c>
      <c r="JP3" s="23"/>
      <c r="JQ3" s="10"/>
      <c r="JR3" s="10"/>
      <c r="JS3" s="25" t="s">
        <v>116</v>
      </c>
      <c r="JT3" s="23"/>
      <c r="JU3" s="28"/>
      <c r="JV3" s="10"/>
      <c r="JW3" s="10"/>
      <c r="JX3" s="25" t="s">
        <v>116</v>
      </c>
      <c r="JY3" s="23"/>
      <c r="JZ3" s="10"/>
      <c r="KA3" s="10"/>
      <c r="KB3" s="25" t="s">
        <v>116</v>
      </c>
      <c r="KC3" s="23"/>
      <c r="KD3" s="10"/>
      <c r="KE3" s="10"/>
      <c r="KF3" s="25" t="s">
        <v>116</v>
      </c>
      <c r="KG3" s="23"/>
      <c r="KH3" s="10"/>
      <c r="KI3" s="10"/>
      <c r="KJ3" s="25" t="s">
        <v>116</v>
      </c>
      <c r="KK3" s="23"/>
      <c r="KL3" s="10"/>
      <c r="KM3" s="10"/>
      <c r="KN3" s="25" t="s">
        <v>116</v>
      </c>
      <c r="KO3" s="23"/>
      <c r="KP3" s="10"/>
      <c r="KQ3" s="10"/>
      <c r="KR3" s="25" t="s">
        <v>116</v>
      </c>
      <c r="KS3" s="23"/>
      <c r="KT3" s="28"/>
      <c r="KU3" s="10"/>
      <c r="KV3" s="10"/>
      <c r="KW3" s="25" t="s">
        <v>116</v>
      </c>
      <c r="KX3" s="23"/>
      <c r="KY3" s="28"/>
      <c r="KZ3" s="10"/>
      <c r="LA3" s="10"/>
      <c r="LB3" s="25" t="s">
        <v>116</v>
      </c>
      <c r="LC3" s="23"/>
      <c r="LD3" s="10"/>
      <c r="LE3" s="10"/>
      <c r="LF3" s="25" t="s">
        <v>116</v>
      </c>
      <c r="LG3" s="23"/>
      <c r="LH3" s="10"/>
      <c r="LI3" s="10"/>
      <c r="LJ3" s="25" t="s">
        <v>116</v>
      </c>
      <c r="LK3" s="23"/>
      <c r="LL3" s="28"/>
      <c r="LM3" s="10"/>
      <c r="LN3" s="10"/>
      <c r="LO3" s="25" t="s">
        <v>116</v>
      </c>
      <c r="LP3" s="23"/>
      <c r="LQ3" s="10"/>
      <c r="LR3" s="10"/>
      <c r="LS3" s="25" t="s">
        <v>116</v>
      </c>
      <c r="LT3" s="23"/>
      <c r="LU3" s="10"/>
      <c r="LV3" s="10"/>
      <c r="LW3" s="25" t="s">
        <v>116</v>
      </c>
      <c r="LX3" s="23"/>
      <c r="LY3" s="28"/>
      <c r="LZ3" s="10"/>
      <c r="MA3" s="10"/>
      <c r="MB3" s="25" t="s">
        <v>116</v>
      </c>
      <c r="MC3" s="23"/>
      <c r="MD3" s="10"/>
      <c r="ME3" s="10"/>
      <c r="MF3" s="25" t="s">
        <v>116</v>
      </c>
      <c r="MG3" s="23"/>
      <c r="MH3" s="10"/>
      <c r="MI3" s="10"/>
      <c r="MJ3" s="25" t="s">
        <v>116</v>
      </c>
      <c r="MK3" s="23"/>
      <c r="ML3" s="28"/>
      <c r="MM3" s="10"/>
      <c r="MN3" s="10"/>
      <c r="MO3" s="25" t="s">
        <v>116</v>
      </c>
      <c r="MP3" s="23"/>
      <c r="MQ3" s="10"/>
      <c r="MR3" s="10"/>
      <c r="MS3" s="25" t="s">
        <v>116</v>
      </c>
      <c r="MT3" s="23"/>
      <c r="MU3" s="10"/>
      <c r="MV3" s="10"/>
      <c r="MW3" s="25" t="s">
        <v>116</v>
      </c>
      <c r="MX3" s="23"/>
      <c r="MY3" s="28"/>
      <c r="MZ3" s="10"/>
      <c r="NA3" s="10"/>
      <c r="NB3" s="25" t="s">
        <v>116</v>
      </c>
      <c r="NC3" s="23"/>
      <c r="ND3" s="10"/>
      <c r="NE3" s="10"/>
      <c r="NF3" s="25" t="s">
        <v>116</v>
      </c>
      <c r="NG3" s="23"/>
      <c r="NH3" s="10"/>
      <c r="NI3" s="10"/>
      <c r="NJ3" s="25" t="s">
        <v>116</v>
      </c>
      <c r="NK3" s="23"/>
      <c r="NL3" s="28"/>
      <c r="NM3" s="10"/>
      <c r="NN3" s="10"/>
      <c r="NO3" s="25" t="s">
        <v>116</v>
      </c>
      <c r="NP3" s="23"/>
      <c r="NQ3" s="10"/>
      <c r="NR3" s="10"/>
      <c r="NS3" s="25" t="s">
        <v>116</v>
      </c>
      <c r="NT3" s="23"/>
      <c r="NU3" s="28"/>
      <c r="NV3" s="10"/>
      <c r="NW3" s="10"/>
      <c r="NX3" s="25" t="s">
        <v>116</v>
      </c>
      <c r="NY3" s="23"/>
      <c r="NZ3" s="10"/>
      <c r="OA3" s="10"/>
      <c r="OB3" s="25" t="s">
        <v>116</v>
      </c>
      <c r="OC3" s="23"/>
      <c r="OD3" s="28"/>
      <c r="OE3" s="10"/>
      <c r="OF3" s="10"/>
      <c r="OG3" s="25" t="s">
        <v>116</v>
      </c>
      <c r="OH3" s="23"/>
      <c r="OI3" s="10"/>
      <c r="OJ3" s="10"/>
      <c r="OK3" s="25" t="s">
        <v>116</v>
      </c>
      <c r="OL3" s="23"/>
      <c r="OM3" s="28"/>
      <c r="ON3" s="10"/>
      <c r="OO3" s="10"/>
      <c r="OP3" s="25" t="s">
        <v>116</v>
      </c>
      <c r="OQ3" s="23"/>
      <c r="OR3" s="10"/>
      <c r="OS3" s="10"/>
      <c r="OT3" s="25" t="s">
        <v>116</v>
      </c>
      <c r="OU3" s="23"/>
      <c r="OV3" s="28"/>
      <c r="OW3" s="10"/>
      <c r="OX3" s="10"/>
      <c r="OY3" s="25" t="s">
        <v>116</v>
      </c>
      <c r="OZ3" s="23"/>
      <c r="PA3" s="28"/>
      <c r="PB3" s="10"/>
      <c r="PC3" s="10"/>
      <c r="PD3" s="25" t="s">
        <v>116</v>
      </c>
      <c r="PE3" s="23"/>
      <c r="PF3" s="28"/>
      <c r="PG3" s="10"/>
      <c r="PH3" s="10"/>
      <c r="PI3" s="25" t="s">
        <v>116</v>
      </c>
      <c r="PJ3" s="23"/>
      <c r="PK3" s="10"/>
      <c r="PL3" s="10"/>
      <c r="PM3" s="25" t="s">
        <v>116</v>
      </c>
      <c r="PN3" s="23"/>
      <c r="PO3" s="28"/>
      <c r="PP3" s="10"/>
      <c r="PQ3" s="10"/>
      <c r="PR3" s="25" t="s">
        <v>116</v>
      </c>
      <c r="PS3" s="23"/>
      <c r="PT3" s="28"/>
      <c r="PU3" s="10"/>
      <c r="PV3" s="10"/>
      <c r="PW3" s="25" t="s">
        <v>116</v>
      </c>
      <c r="PX3" s="23"/>
      <c r="PY3" s="28"/>
      <c r="PZ3" s="10"/>
      <c r="QA3" s="10"/>
      <c r="QB3" s="25" t="s">
        <v>116</v>
      </c>
      <c r="QC3" s="23"/>
      <c r="QD3" s="28"/>
      <c r="QE3" s="10"/>
      <c r="QF3" s="10"/>
      <c r="QG3" s="25" t="s">
        <v>116</v>
      </c>
      <c r="QH3" s="23"/>
      <c r="QI3" s="28"/>
    </row>
    <row r="4" spans="1:451" ht="14.25" customHeight="1" x14ac:dyDescent="0.3">
      <c r="A4" s="5" t="s">
        <v>2</v>
      </c>
      <c r="B4" s="2">
        <v>2</v>
      </c>
      <c r="C4" s="2">
        <v>0</v>
      </c>
      <c r="D4" s="24">
        <f t="shared" ref="D4:D35" si="0">IF(  AND(B4=$D$2, C4=$E$2),  5,  IF(    AND(      SIGN(B4-C4)=SIGN($D$2-$E$2),      OR(B4=$D$2, C4=$E$2)    ),    4,    IF(      SIGN(B4-C4)=SIGN($D$2-$E$2),      3,      IF(        OR(B4=$D$2, C4=$E$2),        1,        0      )    )  ))</f>
        <v>5</v>
      </c>
      <c r="E4" s="23"/>
      <c r="F4" s="2">
        <v>1</v>
      </c>
      <c r="G4" s="2">
        <v>1</v>
      </c>
      <c r="H4" s="24">
        <f t="shared" ref="H4:H35" si="1">IF(  AND(F4=$H$2, G4=$I$2),  5,  IF(    AND(      SIGN(F4-G4)=SIGN($H$2-$I$2),      OR(F4=$H$2, G4=$I$2)    ),    4,    IF(      SIGN(F4-G4)=SIGN($H$2-$I$2),      3,      IF(        OR(F4=$H$2, G4=$I$2),        1,        0      )    )  ))</f>
        <v>1</v>
      </c>
      <c r="I4" s="23"/>
      <c r="J4" s="8">
        <f t="shared" ref="J4:J35" si="2">D4+H4</f>
        <v>6</v>
      </c>
      <c r="K4" s="2">
        <v>2</v>
      </c>
      <c r="L4" s="2">
        <v>1</v>
      </c>
      <c r="M4" s="24">
        <f t="shared" ref="M4:M35" si="3">IF(AND(K4="",L4=""),0,IF(AND(K4=$M$2,L4=$N$2),5,IF(AND(SIGN(K4-L4)=SIGN($M$2-$N$2),OR(K4=$M$2,L4=$N$2)),4,IF(SIGN(K4-L4)=SIGN($M$2-$N$2),3,IF(OR(K4=$M$2,L4=$N$2),1,0)))))</f>
        <v>1</v>
      </c>
      <c r="N4" s="23"/>
      <c r="O4" s="2">
        <v>1</v>
      </c>
      <c r="P4" s="2">
        <v>2</v>
      </c>
      <c r="Q4" s="33">
        <f t="shared" ref="Q4:Q35" si="4">IF(AND(O4="",P4=""),0,IF(AND(O4=$Q$2,P4=$R$2),5,IF(AND(SIGN(O4-P4)=SIGN($Q$2-$R$2),OR(O4=$Q$2,P4=$R$2)),4,IF(SIGN(O4-P4)=SIGN($Q$2-$R$2),3,IF(OR(O4=$Q$2,P4=$R$2),1,0)))))</f>
        <v>0</v>
      </c>
      <c r="R4" s="34"/>
      <c r="S4" s="8">
        <f t="shared" ref="S4:S35" si="5">M4+Q4</f>
        <v>1</v>
      </c>
      <c r="T4" s="2">
        <v>0</v>
      </c>
      <c r="U4" s="2">
        <v>3</v>
      </c>
      <c r="V4" s="33">
        <f t="shared" ref="V4:V35" si="6">IF(AND(T4="",U4=""),0,IF(AND(T4=$V$2,U4=$W$2),5,IF(AND(SIGN(T4-U4)=SIGN($V$2-$W$2),OR(T4=$V$2,U4=$W$2)),4,IF(SIGN(T4-U4)=SIGN($V$2-$W$2),3,IF(OR(T4=$V$2,U4=$W$2),1,0)))))</f>
        <v>0</v>
      </c>
      <c r="W4" s="34"/>
      <c r="X4" s="2">
        <v>2</v>
      </c>
      <c r="Y4" s="2">
        <v>2</v>
      </c>
      <c r="Z4" s="33">
        <f t="shared" ref="Z4:Z35" si="7">IF(AND(X4="",Y4=""),0,IF(AND(X4=$Z$2,Y4=$AA$2),5,IF(AND(SIGN(X4-Y4)=SIGN($Z$2-$AA$2),OR(X4=$Z$2,Y4=$AA$2)),4,IF(SIGN(X4-Y4)=SIGN($Z$2-$AA$2),3,IF(OR(X4=$Z$2,Y4=$AA$2),1,0)))))</f>
        <v>3</v>
      </c>
      <c r="AA4" s="34"/>
      <c r="AB4" s="2">
        <v>0</v>
      </c>
      <c r="AC4" s="2">
        <v>2</v>
      </c>
      <c r="AD4" s="33">
        <f t="shared" ref="AD4:AD35" si="8">IF(AND(AB4="",AC4=""),0,IF(AND(AB4=$AD$2,AC4=$AE$2),5,IF(AND(SIGN(AB4-AC4)=SIGN($AD$2-$AE$2),OR(AB4=$AD$2,AC4=$AE$2)),4,IF(SIGN(AB4-AC4)=SIGN($AD$2-$AE$2),3,IF(OR(AB4=$AD$2,AC4=$AE$2),1,0)))))</f>
        <v>4</v>
      </c>
      <c r="AE4" s="34"/>
      <c r="AF4" s="2">
        <v>1</v>
      </c>
      <c r="AG4" s="2">
        <v>2</v>
      </c>
      <c r="AH4" s="33">
        <f t="shared" ref="AH4:AH35" si="9">IF(AND(AF4="",AG4=""),0,IF(AND(AF4=$AH$2,AG4=$AI$2),5,IF(AND(SIGN(AF4-AG4)=SIGN($AH$2-$AI$2),OR(AF4=$AH$2,AG4=$AI$2)),4,IF(SIGN(AF4-AG4)=SIGN($AH$2-$AI$2),3,IF(OR(AF4=$AH$2,AG4=$AI$2),1,0)))))</f>
        <v>0</v>
      </c>
      <c r="AI4" s="34"/>
      <c r="AJ4" s="8">
        <f t="shared" ref="AJ4:AJ35" si="10">V4+Z4+AD4+AH4</f>
        <v>7</v>
      </c>
      <c r="AK4" s="2">
        <v>5</v>
      </c>
      <c r="AL4" s="2">
        <v>0</v>
      </c>
      <c r="AM4" s="33">
        <f t="shared" ref="AM4:AM35" si="11">IF(AND(AK4="",AL4=""),0,IF(AND(AK4=$AM$2,AL4=$AN$2),5,IF(AND(SIGN(AK4-AL4)=SIGN($AM$2-$AN$2),OR(AK4=$AM$2,AL4=$AN$2)),4,IF(SIGN(AK4-AL4)=SIGN($AM$2-$AN$2),3,IF(OR(AK4=$AM$2,AL4=$AN$2),1,0)))))</f>
        <v>3</v>
      </c>
      <c r="AN4" s="34"/>
      <c r="AO4" s="2">
        <v>1</v>
      </c>
      <c r="AP4" s="2">
        <v>2</v>
      </c>
      <c r="AQ4" s="33">
        <f t="shared" ref="AQ4:AQ35" si="12">IF(AND(AO4="",AP4=""),0,IF(AND(AO4=$AQ$2,AP4=$AR$2),5,IF(AND(SIGN(AO4-AP4)=SIGN($AQ$2-$AR$2),OR(AO4=$AQ$2,AP4=$AR$2)),4,IF(SIGN(AO4-AP4)=SIGN($AQ$2-$AR$2),3,IF(OR(AO4=$AQ$2,AP4=$AR$2),1,0)))))</f>
        <v>1</v>
      </c>
      <c r="AR4" s="34"/>
      <c r="AS4" s="2">
        <v>1</v>
      </c>
      <c r="AT4" s="2">
        <v>2</v>
      </c>
      <c r="AU4" s="24">
        <f t="shared" ref="AU4:AU35" si="13">IF(AND(AS4="",AT4=""),0,IF(AND(AS4=$AU$2,AT4=$AV$2),5,IF(AND(SIGN(AS4-AT4)=SIGN($AU$2-$AV$2),OR(AS4=$AU$2,AT4=$AV$2)),4,IF(SIGN(AS4-AT4)=SIGN($AU$2-$AV$2),3,IF(OR(AS4=$AU$2,AT4=$AV$2),1,0)))))</f>
        <v>1</v>
      </c>
      <c r="AV4" s="23"/>
      <c r="AW4" s="2">
        <v>2</v>
      </c>
      <c r="AX4" s="2">
        <v>0</v>
      </c>
      <c r="AY4" s="24">
        <f t="shared" ref="AY4:AY35" si="14">IF(AND(AW4="",AX4=""),0,IF(AND(AW4=$AY$2,AX4=$AZ$2),5,IF(AND(SIGN(AW4-AX4)=SIGN($AY$2-$AZ$2),OR(AW4=$AY$2,AX4=$AZ$2)),4,IF(SIGN(AW4-AX4)=SIGN($AY$2-$AZ$2),3,IF(OR(AW4=$AY$2,AX4=$AZ$2),1,0)))))</f>
        <v>3</v>
      </c>
      <c r="AZ4" s="23"/>
      <c r="BA4" s="8">
        <f t="shared" ref="BA4:BA35" si="15">AM4+AQ4+AU4+AY4</f>
        <v>8</v>
      </c>
      <c r="BB4" s="2">
        <v>7</v>
      </c>
      <c r="BC4" s="2">
        <v>0</v>
      </c>
      <c r="BD4" s="24">
        <f t="shared" ref="BD4:BD35" si="16">IF(AND(BB4="",BC4=""),0,IF(AND(BB4=$BD$2,BC4=$BE$2),5,IF(AND(SIGN(BB4-BC4)=SIGN($BD$2-$BE$2),OR(BB4=$BD$2,BC4=$BE$2)),4,IF(SIGN(BB4-BC4)=SIGN($BD$2-$BE$2),3,IF(OR(BB4=$BD$2,BC4=$BE$2),1,0)))))</f>
        <v>1</v>
      </c>
      <c r="BE4" s="23"/>
      <c r="BF4" s="2">
        <v>3</v>
      </c>
      <c r="BG4" s="2">
        <v>1</v>
      </c>
      <c r="BH4" s="24">
        <f t="shared" ref="BH4:BH35" si="17">IF(AND(BF4="",BG4=""),0,IF(AND(BF4=$BH$2,BG4=$BI$2),5,IF(AND(SIGN(BF4-BG4)=SIGN($BH$2-$BI$2),OR(BF4=$BH$2,BG4=$BI$2)),4,IF(SIGN(BF4-BG4)=SIGN($BH$2-$BI$2),3,IF(OR(BF4=$BH$2,BG4=$BI$2),1,0)))))</f>
        <v>1</v>
      </c>
      <c r="BI4" s="23"/>
      <c r="BJ4" s="2">
        <v>0</v>
      </c>
      <c r="BK4" s="2">
        <v>2</v>
      </c>
      <c r="BL4" s="24">
        <f t="shared" ref="BL4:BL35" si="18">IF(AND(BJ4="",BK4=""),0,IF(AND(BJ4=$BL$2,BK4=$BM$2),5,IF(AND(SIGN(BJ4-BK4)=SIGN($BL$2-$BM$2),OR(BJ4=$BL$2,BK4=$BM$2)),4,IF(SIGN(BJ4-BK4)=SIGN($BL$2-$BM$2),3,IF(OR(BJ4=$BL$2,BK4=$BM$2),1,0)))))</f>
        <v>0</v>
      </c>
      <c r="BM4" s="23"/>
      <c r="BN4" s="2">
        <v>2</v>
      </c>
      <c r="BO4" s="2">
        <v>1</v>
      </c>
      <c r="BP4" s="24">
        <f t="shared" ref="BP4:BP35" si="19">IF(AND(BN4="",BO4=""),0,IF(AND(BN4=$BP$2,BO4=$BQ$2),5,IF(AND(SIGN(BN4-BO4)=SIGN($BP$2-$BQ$2),OR(BN4=$BP$2,BO4=$BQ$2)),4,IF(SIGN(BN4-BO4)=SIGN($BP$2-$BQ$2),3,IF(OR(BN4=$BP$2,BO4=$BQ$2),1,0)))))</f>
        <v>1</v>
      </c>
      <c r="BQ4" s="23"/>
      <c r="BR4" s="8">
        <f t="shared" ref="BR4:BR35" si="20">BD4+BH4+BL4+BP4</f>
        <v>3</v>
      </c>
      <c r="BS4" s="2">
        <v>2</v>
      </c>
      <c r="BT4" s="2">
        <v>1</v>
      </c>
      <c r="BU4" s="24">
        <f t="shared" ref="BU4:BU35" si="21">IF(AND(BS4="",BT4=""),0,IF(AND(BS4=$BU$2,BT4=$BV$2),5,IF(AND(SIGN(BS4-BT4)=SIGN($BU$2-$BV$2),OR(BS4=$BU$2,BT4=$BV$2)),4,IF(SIGN(BS4-BT4)=SIGN($BU$2-$BV$2),3,IF(OR(BS4=$BU$2,BT4=$BV$2),1,0)))))</f>
        <v>4</v>
      </c>
      <c r="BV4" s="23"/>
      <c r="BW4" s="2">
        <v>0</v>
      </c>
      <c r="BX4" s="2">
        <v>2</v>
      </c>
      <c r="BY4" s="24">
        <f t="shared" ref="BY4:BY35" si="22">IF(AND(BW4="",BX4=""),0,IF(AND(BW4=$BY$2,BX4=$BZ$2),5,IF(AND(SIGN(BW4-BX4)=SIGN($BY$2-$BZ$2),OR(BW4=$BY$2,BX4=$BZ$2)),4,IF(SIGN(BW4-BX4)=SIGN($BY$2-$BZ$2),3,IF(OR(BW4=$BY$2,BX4=$BZ$2),1,0)))))</f>
        <v>3</v>
      </c>
      <c r="BZ4" s="23"/>
      <c r="CA4" s="2">
        <v>2</v>
      </c>
      <c r="CB4" s="2">
        <v>1</v>
      </c>
      <c r="CC4" s="24">
        <f t="shared" ref="CC4:CC35" si="23">IF(AND(CA4="",CB4=""),0,IF(AND(CA4=$CC$2,CB4=$CD$2),5,IF(AND(SIGN(CA4-CB4)=SIGN($CC$2-$CD$2),OR(CA4=$CC$2,CB4=$CD$2)),4,IF(SIGN(CA4-CB4)=SIGN($CC$2-$CD$2),3,IF(OR(CA4=$CC$2,CB4=$CD$2),1,0)))))</f>
        <v>3</v>
      </c>
      <c r="CD4" s="23"/>
      <c r="CE4" s="2">
        <v>2</v>
      </c>
      <c r="CF4" s="2">
        <v>0</v>
      </c>
      <c r="CG4" s="24">
        <f t="shared" ref="CG4:CG35" si="24">IF(AND(CE4="",CF4=""),0,IF(AND(CE4=$CG$2,CF4=$CH$2),5,IF(AND(SIGN(CE4-CF4)=SIGN($CG$2-$CH$2),OR(CE4=$CG$2,CF4=$CH$2)),4,IF(SIGN(CE4-CF4)=SIGN($CG$2-$CH$2),3,IF(OR(CE4=$CG$2,CF4=$CH$2),1,0)))))</f>
        <v>3</v>
      </c>
      <c r="CH4" s="23"/>
      <c r="CI4" s="8">
        <f t="shared" ref="CI4:CI35" si="25">BU4+BY4+CC4+CG4</f>
        <v>13</v>
      </c>
      <c r="CJ4" s="2">
        <v>4</v>
      </c>
      <c r="CK4" s="2">
        <v>0</v>
      </c>
      <c r="CL4" s="24">
        <f t="shared" ref="CL4:CL35" si="26">IF(AND(CJ4="",CK4=""),0,IF(AND(CJ4=$CL$2,CK4=$CM$2),5,IF(AND(SIGN(CJ4-CK4)=SIGN($CL$2-$CM$2),OR(CJ4=$CL$2,CK4=$CM$2)),4,IF(SIGN(CJ4-CK4)=SIGN($CL$2-$CM$2),3,IF(OR(CJ4=$CL$2,CK4=$CM$2),1,0)))))</f>
        <v>0</v>
      </c>
      <c r="CM4" s="23"/>
      <c r="CN4" s="2">
        <v>1</v>
      </c>
      <c r="CO4" s="2">
        <v>1</v>
      </c>
      <c r="CP4" s="24">
        <f t="shared" ref="CP4:CP35" si="27">IF(AND(CN4="",CO4=""),0,IF(AND(CN4=$CP$2,CO4=$CQ$2),5,IF(AND(SIGN(CN4-CO4)=SIGN($CP$2-$CQ$2),OR(CN4=$CP$2,CO4=$CQ$2)),4,IF(SIGN(CN4-CO4)=SIGN($CP$2-$CQ$2),3,IF(OR(CN4=$CP$2,CO4=$CQ$2),1,0)))))</f>
        <v>0</v>
      </c>
      <c r="CQ4" s="23"/>
      <c r="CR4" s="2">
        <v>2</v>
      </c>
      <c r="CS4" s="2">
        <v>0</v>
      </c>
      <c r="CT4" s="24">
        <f t="shared" ref="CT4:CT35" si="28">IF(AND(CR4="",CS4=""),0,IF(AND(CR4=$CT$2,CS4=$CU$2),5,IF(AND(SIGN(CR4-CS4)=SIGN($CT$2-$CU$2),OR(CR4=$CT$2,CS4=$CU$2)),4,IF(SIGN(CR4-CS4)=SIGN($CT$2-$CU$2),3,IF(OR(CR4=$CT$2,CS4=$CU$2),1,0)))))</f>
        <v>4</v>
      </c>
      <c r="CU4" s="23"/>
      <c r="CV4" s="2">
        <v>0</v>
      </c>
      <c r="CW4" s="2">
        <v>2</v>
      </c>
      <c r="CX4" s="24">
        <f t="shared" ref="CX4:CX35" si="29">IF(AND(CV4="",CW4=""),0,IF(AND(CV4=$CX$2,CW4=$CY$2),5,IF(AND(SIGN(CV4-CW4)=SIGN($CX$2-$CY$2),OR(CV4=$CX$2,CW4=$CY$2)),4,IF(SIGN(CV4-CW4)=SIGN($CX$2-$CY$2),3,IF(OR(CV4=$CX$2,CW4=$CY$2),1,0)))))</f>
        <v>3</v>
      </c>
      <c r="CY4" s="23"/>
      <c r="CZ4" s="8">
        <f t="shared" ref="CZ4:CZ35" si="30">CL4+CP4+CT4+CX4</f>
        <v>7</v>
      </c>
      <c r="DA4" s="2">
        <v>2</v>
      </c>
      <c r="DB4" s="2">
        <v>0</v>
      </c>
      <c r="DC4" s="24">
        <f>IF(AND(DA4="",DB4=""),0,IF(AND(DA4=$DC$2,DB4=$DD$2),5,IF(AND(SIGN(DA4-DB4)=SIGN($DC$2-$DD$2),OR(DA4=$DC$2,DB4=$DD$2)),4,IF(SIGN(DA4-DB4)=SIGN($DC$2-$DD$2),3,IF(OR(DA4=$DC$2,DB4=$DD$2),1,0)))))</f>
        <v>0</v>
      </c>
      <c r="DD4" s="23"/>
      <c r="DE4" s="2">
        <v>1</v>
      </c>
      <c r="DF4" s="2">
        <v>1</v>
      </c>
      <c r="DG4" s="24">
        <f>IF(AND(DE4="",DF4=""),0,IF(AND(DE4=$DG$2,DF4=$DH$2),5,IF(AND(SIGN(DE4-DF4)=SIGN($DG$2-$DH$2),OR(DE4=$DG$2,DF4=$DH$2)),4,IF(SIGN(DE4-DF4)=SIGN($DG$2-$DH$2),3,IF(OR(DE4=$DG$2,DF4=$DH$2),1,0)))))</f>
        <v>1</v>
      </c>
      <c r="DH4" s="23"/>
      <c r="DI4" s="2">
        <v>2</v>
      </c>
      <c r="DJ4" s="2">
        <v>0</v>
      </c>
      <c r="DK4" s="24">
        <f>IF(AND(DI4="",DJ4=""),0,IF(AND(DI4=$DK$2,DJ4=$DL$2),5,IF(AND(SIGN(DI4-DJ4)=SIGN($DK$2-$DL$2),OR(DI4=$DK$2,DJ4=$DL$2)),4,IF(SIGN(DI4-DJ4)=SIGN($DK$2-$DL$2),3,IF(OR(DI4=$DK$2,DJ4=$DL$2),1,0)))))</f>
        <v>4</v>
      </c>
      <c r="DL4" s="23"/>
      <c r="DM4" s="2">
        <v>1</v>
      </c>
      <c r="DN4" s="2">
        <v>1</v>
      </c>
      <c r="DO4" s="24">
        <f>IF(AND(DM4="",DN4=""),0,IF(AND(DM4=$DO$2,DN4=$DP$2),5,IF(AND(SIGN(DM4-DN4)=SIGN($DO$2-$DP$2),OR(DM4=$DO$2,DN4=$DP$2)),4,IF(SIGN(DM4-DN4)=SIGN($DO$2-$DP$2),3,IF(OR(DM4=$DO$2,DN4=$DP$2),1,0)))))</f>
        <v>1</v>
      </c>
      <c r="DP4" s="23"/>
      <c r="DQ4" s="8">
        <f t="shared" ref="DQ4:DQ35" si="31">DC4+DG4+DK4+DO4</f>
        <v>6</v>
      </c>
      <c r="DR4" s="2">
        <v>3</v>
      </c>
      <c r="DS4" s="2">
        <v>1</v>
      </c>
      <c r="DT4" s="24">
        <f>IF(AND(DR4="",DS4=""),0,IF(AND(DR4=$DT$2,DS4=$DU$2),5,IF(AND(SIGN(DR4-DS4)=SIGN($DT$2-$DU$2),OR(DR4=$DT$2,DS4=$DU$2)),4,IF(SIGN(DR4-DS4)=SIGN($DT$2-$DU$2),3,IF(OR(DR4=$DT$2,DS4=$DU$2),1,0)))))</f>
        <v>3</v>
      </c>
      <c r="DU4" s="23"/>
      <c r="DV4" s="2">
        <v>0</v>
      </c>
      <c r="DW4" s="2">
        <v>2</v>
      </c>
      <c r="DX4" s="24">
        <f>IF(AND(DV4="",DW4=""),0,IF(AND(DV4=$DX$2,DW4=$DY$2),5,IF(AND(SIGN(DV4-DW4)=SIGN($DX$2-$DY$2),OR(DV4=$DX$2,DW4=$DY$2)),4,IF(SIGN(DV4-DW4)=SIGN($DX$2-$DY$2),3,IF(OR(DV4=$DX$2,DW4=$DY$2),1,0)))))</f>
        <v>4</v>
      </c>
      <c r="DY4" s="23"/>
      <c r="DZ4" s="2">
        <v>3</v>
      </c>
      <c r="EA4" s="2">
        <v>0</v>
      </c>
      <c r="EB4" s="24">
        <f>IF(AND(DZ4="",EA4=""),0,IF(AND(DZ4=$EB$2,EA4=$EC$2),5,IF(AND(SIGN(DZ4-EA4)=SIGN($EB$2-$EC$2),OR(DZ4=$EB$2,EA4=$EC$2)),4,IF(SIGN(DZ4-EA4)=SIGN($EB$2-$EC$2),3,IF(OR(DZ4=$EB$2,EA4=$EC$2),1,0)))))</f>
        <v>5</v>
      </c>
      <c r="EC4" s="23"/>
      <c r="ED4" s="2">
        <v>1</v>
      </c>
      <c r="EE4" s="2">
        <v>2</v>
      </c>
      <c r="EF4" s="24">
        <f>IF(AND(ED4="",EE4=""),0,IF(AND(ED4=$EF$2,EE4=$EG$2),5,IF(AND(SIGN(ED4-EE4)=SIGN($EF$2-$EG$2),OR(ED4=$EF$2,EE4=$EG$2)),4,IF(SIGN(ED4-EE4)=SIGN($EF$2-$EG$2),3,IF(OR(ED4=$EF$2,EE4=$EG$2),1,0)))))</f>
        <v>3</v>
      </c>
      <c r="EG4" s="23"/>
      <c r="EH4" s="8">
        <f t="shared" ref="EH4:EH35" si="32">DT4+DX4+EB4+EF4</f>
        <v>15</v>
      </c>
      <c r="EI4" s="2">
        <v>3</v>
      </c>
      <c r="EJ4" s="2">
        <v>1</v>
      </c>
      <c r="EK4" s="24">
        <f t="shared" ref="EK4:EK35" si="33">IF(AND(EI4="",EJ4=""),0,IF(AND(EI4=$EK$2,EJ4=$EL$2),5,IF(AND(SIGN(EI4-EJ4)=SIGN($EK$2-$EL$2),OR(EI4=$EK$2,EJ4=$EL$2)),4,IF(SIGN(EI4-EJ4)=SIGN($EK$2-$EL$2),3,IF(OR(EI4=$EK$2,EJ4=$EL$2),1,0)))))</f>
        <v>4</v>
      </c>
      <c r="EL4" s="23"/>
      <c r="EM4" s="2">
        <v>4</v>
      </c>
      <c r="EN4" s="2">
        <v>1</v>
      </c>
      <c r="EO4" s="24">
        <f t="shared" ref="EO4:EO35" si="34">IF(AND(EM4="",EN4=""),0,IF(AND(EM4=$EO$2,EN4=$EP$2),5,IF(AND(SIGN(EM4-EN4)=SIGN($EO$2-$EP$2),OR(EM4=$EO$2,EN4=$EP$2)),4,IF(SIGN(EM4-EN4)=SIGN($EO$2-$EP$2),3,IF(OR(EM4=$EO$2,EN4=$EP$2),1,0)))))</f>
        <v>4</v>
      </c>
      <c r="EP4" s="23"/>
      <c r="EQ4" s="2">
        <v>3</v>
      </c>
      <c r="ER4" s="2">
        <v>0</v>
      </c>
      <c r="ES4" s="24">
        <f t="shared" ref="ES4:ES35" si="35">IF(AND(EQ4="",ER4=""),0,IF(AND(EQ4=$ES$2,ER4=$ET$2),5,IF(AND(SIGN(EQ4-ER4)=SIGN($ES$2-$ET$2),OR(EQ4=$ES$2,ER4=$ET$2)),4,IF(SIGN(EQ4-ER4)=SIGN($ES$2-$ET$2),3,IF(OR(EQ4=$ES$2,ER4=$ET$2),1,0)))))</f>
        <v>1</v>
      </c>
      <c r="ET4" s="23"/>
      <c r="EU4" s="2">
        <v>0</v>
      </c>
      <c r="EV4" s="2">
        <v>2</v>
      </c>
      <c r="EW4" s="24">
        <f t="shared" ref="EW4:EW35" si="36">IF(AND(EU4="",EV4=""),0,IF(AND(EU4=$EW$2,EV4=$EX$2),5,IF(AND(SIGN(EU4-EV4)=SIGN($EW$2-$EX$2),OR(EU4=$EW$2,EV4=$EX$2)),4,IF(SIGN(EU4-EV4)=SIGN($EW$2-$EX$2),3,IF(OR(EU4=$EW$2,EV4=$EX$2),1,0)))))</f>
        <v>4</v>
      </c>
      <c r="EX4" s="23"/>
      <c r="EY4" s="8">
        <f t="shared" ref="EY4:EY35" si="37">EK4+EO4+ES4+EW4</f>
        <v>13</v>
      </c>
      <c r="EZ4" s="2">
        <v>3</v>
      </c>
      <c r="FA4" s="2">
        <v>0</v>
      </c>
      <c r="FB4" s="24"/>
      <c r="FC4" s="23"/>
      <c r="FD4" s="2">
        <v>3</v>
      </c>
      <c r="FE4" s="2">
        <v>0</v>
      </c>
      <c r="FF4" s="24"/>
      <c r="FG4" s="23"/>
      <c r="FH4" s="2">
        <v>2</v>
      </c>
      <c r="FI4" s="2">
        <v>0</v>
      </c>
      <c r="FJ4" s="24"/>
      <c r="FK4" s="23"/>
      <c r="FL4" s="2">
        <v>0</v>
      </c>
      <c r="FM4" s="2">
        <v>2</v>
      </c>
      <c r="FN4" s="24"/>
      <c r="FO4" s="23"/>
      <c r="FP4" s="8">
        <f t="shared" ref="FP4:FP35" si="38">FB4+FF4+FJ4+FN4</f>
        <v>0</v>
      </c>
      <c r="FQ4" s="2"/>
      <c r="FR4" s="2"/>
      <c r="FS4" s="24">
        <f t="shared" ref="FS4:FS35" si="39">IF(AND(FQ4="",FR4=""),0,IF(AND(FQ4=$FS$2,FR4=$FT$2),5,IF(AND(SIGN(FQ4-FR4)=SIGN($FS$2-$FT$2),OR(FQ4=$FS$2,FR4=$FT$2)),4,IF(SIGN(FQ4-FR4)=SIGN($FS$2-$FT$2),3,IF(OR(FQ4=$FS$2,FR4=$FT$2),1,0)))))</f>
        <v>0</v>
      </c>
      <c r="FT4" s="23"/>
      <c r="FU4" s="2"/>
      <c r="FV4" s="2"/>
      <c r="FW4" s="24">
        <f t="shared" ref="FW4:FW35" si="40">IF(AND(FU4="",FV4=""),0,IF(AND(FU4=$FW$2,FV4=$FX$2),5,IF(AND(SIGN(FU4-FV4)=SIGN($FW$2-$FX$2),OR(FU4=$FW$2,FV4=$FX$2)),4,IF(SIGN(FU4-FV4)=SIGN($FW$2-$FX$2),3,IF(OR(FU4=$FW$2,FV4=$FX$2),1,0)))))</f>
        <v>0</v>
      </c>
      <c r="FX4" s="23"/>
      <c r="FY4" s="2"/>
      <c r="FZ4" s="2"/>
      <c r="GA4" s="24">
        <f t="shared" ref="GA4:GA35" si="41">IF(AND(FY4="",FZ4=""),0,IF(AND(FY4=$GA$2,FZ4=$GB$2),5,IF(AND(SIGN(FY4-FZ4)=SIGN($GA$2-$GB$2),OR(FY4=$GA$2,FZ4=$GB$2)),4,IF(SIGN(FY4-FZ4)=SIGN($GA$2-$GB$2),3,IF(OR(FY4=$GA$2,FZ4=$GB$2),1,0)))))</f>
        <v>0</v>
      </c>
      <c r="GB4" s="23"/>
      <c r="GC4" s="2"/>
      <c r="GD4" s="2"/>
      <c r="GE4" s="24">
        <f t="shared" ref="GE4:GE35" si="42">IF(AND(GC4="",GD4=""),0,IF(AND(GC4=$GE$2,GD4=$GF$2),5,IF(AND(SIGN(GC4-GD4)=SIGN($GE$2-$GF$2),OR(GC4=$GE$2,GD4=$GF$2)),4,IF(SIGN(GC4-GD4)=SIGN($GE$2-$GF$2),3,IF(OR(GC4=$GE$2,GD4=$GF$2),1,0)))))</f>
        <v>0</v>
      </c>
      <c r="GF4" s="23"/>
      <c r="GG4" s="8">
        <f t="shared" ref="GG4:GG35" si="43">FS4+FW4+GA4+GE4</f>
        <v>0</v>
      </c>
      <c r="GH4" s="2"/>
      <c r="GI4" s="2"/>
      <c r="GJ4" s="24">
        <f t="shared" ref="GJ4:GJ35" si="44">IF(AND(GH4="",GI4=""),0,IF(AND(GH4=$GJ$2,GI4=$GK$2),5,IF(AND(SIGN(GH4-GI4)=SIGN($GJ$2-$GK$2),OR(GH4=$GJ$2,GI4=$GK$2)),4,IF(SIGN(GH4-GI4)=SIGN($GJ$2-$GK$2),3,IF(OR(GH4=$GJ$2,GI4=$GK$2),1,0)))))</f>
        <v>0</v>
      </c>
      <c r="GK4" s="23"/>
      <c r="GL4" s="2"/>
      <c r="GM4" s="2"/>
      <c r="GN4" s="24">
        <f t="shared" ref="GN4:GN35" si="45">IF(AND(GL4="",GM4=""),0,IF(AND(GL4=$GN$2,GM4=$GO$2),5,IF(AND(SIGN(GL4-GM4)=SIGN($GN$2-$GO$2),OR(GL4=$GN$2,GM4=$GO$2)),4,IF(SIGN(GL4-GM4)=SIGN($GN$2-$GO$2),3,IF(OR(GL4=$GN$2,GM4=$GO$2),1,0)))))</f>
        <v>0</v>
      </c>
      <c r="GO4" s="23"/>
      <c r="GP4" s="2"/>
      <c r="GQ4" s="2"/>
      <c r="GR4" s="24">
        <f t="shared" ref="GR4:GR35" si="46">IF(AND(GP4="",GQ4=""),0,IF(AND(GP4=$GR$2,GQ4=$GS$2),5,IF(AND(SIGN(GP4-GQ4)=SIGN($GR$2-$GS$2),OR(GP4=$GR$2,GQ4=$GS$2)),4,IF(SIGN(GP4-GQ4)=SIGN($GR$2-$GS$2),3,IF(OR(GP4=$GR$2,GQ4=$GS$2),1,0)))))</f>
        <v>0</v>
      </c>
      <c r="GS4" s="23"/>
      <c r="GT4" s="2"/>
      <c r="GU4" s="2"/>
      <c r="GV4" s="24">
        <f t="shared" ref="GV4:GV35" si="47">IF(AND(GT4="",GU4=""),0,IF(AND(GT4=$GV$2,GU4=$GW$2),5,IF(AND(SIGN(GT4-GU4)=SIGN($GV$2-$GW$2),OR(GT4=$GV$2,GU4=$GW$2)),4,IF(SIGN(GT4-GU4)=SIGN($GV$2-$GW$2),3,IF(OR(GT4=$GV$2,GU4=$GW$2),1,0)))))</f>
        <v>0</v>
      </c>
      <c r="GW4" s="23"/>
      <c r="GX4" s="8">
        <f t="shared" ref="GX4:GX35" si="48">GJ4+GN4+GR4+GV4</f>
        <v>0</v>
      </c>
      <c r="GY4" s="2"/>
      <c r="GZ4" s="2"/>
      <c r="HA4" s="24">
        <f t="shared" ref="HA4:HA35" si="49">IF(AND(GY4="",GZ4=""),0,IF(AND(GY4=$HA$2,GZ4=$HB$2),5,IF(AND(SIGN(GY4-GZ4)=SIGN($HA$2-$HB$2),OR(GY4=$HA$2,GZ4=$HB$2)),4,IF(SIGN(GY4-GZ4)=SIGN($HA$2-$HB$2),3,IF(OR(GY4=$HA$2,GZ4=$HB$2),1,0)))))</f>
        <v>0</v>
      </c>
      <c r="HB4" s="23"/>
      <c r="HC4" s="2"/>
      <c r="HD4" s="2"/>
      <c r="HE4" s="24">
        <f t="shared" ref="HE4:HE35" si="50">IF(AND(HC4="",HD4=""),0,IF(AND(HC4=$HE$2,HD4=$HF$2),5,IF(AND(SIGN(HC4-HD4)=SIGN($HE$2-$HF$2),OR(HC4=$HE$2,HD4=$HF$2)),4,IF(SIGN(HC4-HD4)=SIGN($HE$2-$HF$2),3,IF(OR(HC4=$HE$2,HD4=$HF$2),1,0)))))</f>
        <v>0</v>
      </c>
      <c r="HF4" s="23"/>
      <c r="HG4" s="2"/>
      <c r="HH4" s="2"/>
      <c r="HI4" s="24">
        <f t="shared" ref="HI4:HI35" si="51">IF(AND(HG4="",HH4=""),0,IF(AND(HG4=$HI$2,HH4=$HJ$2),5,IF(AND(SIGN(HG4-HH4)=SIGN($HI$2-$HJ$2),OR(HG4=$HI$2,HH4=$HJ$2)),4,IF(SIGN(HG4-HH4)=SIGN($HI$2-$HJ$2),3,IF(OR(HG4=$HI$2,HH4=$HJ$2),1,0)))))</f>
        <v>0</v>
      </c>
      <c r="HJ4" s="23"/>
      <c r="HK4" s="2"/>
      <c r="HL4" s="2"/>
      <c r="HM4" s="24">
        <f t="shared" ref="HM4:HM35" si="52">IF(AND(HK4="",HL4=""),0,IF(AND(HK4=$HM$2,HL4=$HN$2),5,IF(AND(SIGN(HK4-HL4)=SIGN($HM$2-$HN$2),OR(HK4=$HM$2,HL4=$HN$2)),4,IF(SIGN(HK4-HL4)=SIGN($HM$2-$HN$2),3,IF(OR(HK4=$HM$2,HL4=$HN$2),1,0)))))</f>
        <v>0</v>
      </c>
      <c r="HN4" s="23"/>
      <c r="HO4" s="2"/>
      <c r="HP4" s="2"/>
      <c r="HQ4" s="24">
        <f t="shared" ref="HQ4:HQ35" si="53">IF(AND(HO4="",HP4=""),0,IF(AND(HO4=$HQ$2,HP4=$HR$2),5,IF(AND(SIGN(HO4-HP4)=SIGN($HQ$2-$HR$2),OR(HO4=$HQ$2,HP4=$HR$2)),4,IF(SIGN(HO4-HP4)=SIGN($HQ$2-$HR$2),3,IF(OR(HO4=$HQ$2,HP4=$HR$2),1,0)))))</f>
        <v>0</v>
      </c>
      <c r="HR4" s="23"/>
      <c r="HS4" s="2"/>
      <c r="HT4" s="2"/>
      <c r="HU4" s="24">
        <f t="shared" ref="HU4:HU35" si="54">IF(AND(HS4="",HT4=""),0,IF(AND(HS4=$HU$2,HT4=$HV$2),5,IF(AND(SIGN(HS4-HT4)=SIGN($HU$2-$HV$2),OR(HS4=$HU$2,HT4=$HV$2)),4,IF(SIGN(HS4-HT4)=SIGN($HU$2-$HV$2),3,IF(OR(HS4=$HU$2,HT4=$HV$2),1,0)))))</f>
        <v>0</v>
      </c>
      <c r="HV4" s="23"/>
      <c r="HW4" s="8">
        <f t="shared" ref="HW4:HW35" si="55">HI4+HM4+HQ4+HU4+HE4+HA4</f>
        <v>0</v>
      </c>
      <c r="HX4" s="2"/>
      <c r="HY4" s="2"/>
      <c r="HZ4" s="24">
        <f t="shared" ref="HZ4:HZ35" si="56">IF(AND(HX4="",HY4=""),0,IF(AND(HX4=$HZ$2,HY4=$IA$2),5,IF(AND(SIGN(HX4-HY4)=SIGN($HZ$2-$IA$2),OR(HX4=$HZ$2,HY4=$IA$2)),4,IF(SIGN(HX4-HY4)=SIGN($HZ$2-$IA$2),3,IF(OR(HX4=$HZ$2,HY4=$IA$2),1,0)))))</f>
        <v>0</v>
      </c>
      <c r="IA4" s="23"/>
      <c r="IB4" s="2"/>
      <c r="IC4" s="2"/>
      <c r="ID4" s="24">
        <f t="shared" ref="ID4:ID35" si="57">IF(AND(IB4="",IC4=""),0,IF(AND(IB4=$ID$2,IC4=$IE$2),5,IF(AND(SIGN(IB4-IC4)=SIGN($ID$2-$IE$2),OR(IB4=$ID$2,IC4=$IE$2)),4,IF(SIGN(IB4-IC4)=SIGN($ID$2-$IE$2),3,IF(OR(IB4=$ID$2,IC4=$IE$2),1,0)))))</f>
        <v>0</v>
      </c>
      <c r="IE4" s="23"/>
      <c r="IF4" s="2"/>
      <c r="IG4" s="2"/>
      <c r="IH4" s="24">
        <f t="shared" ref="IH4:IH35" si="58">IF(AND(IF4="",IG4=""),0,IF(AND(IF4=$IH$2,IG4=$II$2),5,IF(AND(SIGN(IF4-IG4)=SIGN($IH$2-$II$2),OR(IF4=$IH$2,IG4=$II$2)),4,IF(SIGN(IF4-IG4)=SIGN($IH$2-$II$2),3,IF(OR(IF4=$IH$2,IG4=$II$2),1,0)))))</f>
        <v>0</v>
      </c>
      <c r="II4" s="23"/>
      <c r="IJ4" s="2"/>
      <c r="IK4" s="2"/>
      <c r="IL4" s="24">
        <f t="shared" ref="IL4:IL35" si="59">IF(AND(IJ4="",IK4=""),0,IF(AND(IJ4=$IL$2,IK4=$IM$2),5,IF(AND(SIGN(IJ4-IK4)=SIGN($IL$2-$IM$2),OR(IJ4=$IL$2,IK4=$IM$2)),4,IF(SIGN(IJ4-IK4)=SIGN($IL$2-$IM$2),3,IF(OR(IJ4=$IL$2,IK4=$IM$2),1,0)))))</f>
        <v>0</v>
      </c>
      <c r="IM4" s="23"/>
      <c r="IN4" s="2"/>
      <c r="IO4" s="2"/>
      <c r="IP4" s="24">
        <f t="shared" ref="IP4:IP35" si="60">IF(AND(IN4="",IO4=""),0,IF(AND(IN4=$IP$2,IO4=$IQ$2),5,IF(AND(SIGN(IN4-IO4)=SIGN($IP$2-$IQ$2),OR(IN4=$IP$2,IO4=$IQ$2)),4,IF(SIGN(IN4-IO4)=SIGN($IP$2-$IQ$2),3,IF(OR(IN4=$IP$2,IO4=$IQ$2),1,0)))))</f>
        <v>0</v>
      </c>
      <c r="IQ4" s="23"/>
      <c r="IR4" s="2"/>
      <c r="IS4" s="2"/>
      <c r="IT4" s="24">
        <f t="shared" ref="IT4:IT35" si="61">IF(AND(IR4="",IS4=""),0,IF(AND(IR4=$IT$2,IS4=$IU$2),5,IF(AND(SIGN(IR4-IS4)=SIGN($IT$2-$IU$2),OR(IR4=$IT$2,IS4=$IU$2)),4,IF(SIGN(IR4-IS4)=SIGN($IT$2-$IU$2),3,IF(OR(IR4=$IT$2,IS4=$IU$2),1,0)))))</f>
        <v>0</v>
      </c>
      <c r="IU4" s="23"/>
      <c r="IV4" s="8">
        <f t="shared" ref="IV4:IV35" si="62">IH4+IL4+IP4+IT4+ID4+HZ4</f>
        <v>0</v>
      </c>
      <c r="IW4" s="2"/>
      <c r="IX4" s="2"/>
      <c r="IY4" s="24">
        <f t="shared" ref="IY4:IY35" si="63">IF(AND(IW4="",IX4=""),0,IF(AND(IW4=$IY$2,IX4=$IZ$2),5,IF(AND(SIGN(IW4-IX4)=SIGN($IY$2-$IZ$2),OR(IW4=$IY$2,IX4=$IZ$2)),4,IF(SIGN(IW4-IX4)=SIGN($IY$2-$IZ$2),3,IF(OR(IW4=$IY$2,IX4=$IZ$2),1,0)))))</f>
        <v>0</v>
      </c>
      <c r="IZ4" s="23"/>
      <c r="JA4" s="2"/>
      <c r="JB4" s="2"/>
      <c r="JC4" s="24">
        <f t="shared" ref="JC4:JC35" si="64">IF(AND(JA4="",JB4=""),0,IF(AND(JA4=$JC$2,JB4=$JD$2),5,IF(AND(SIGN(JA4-JB4)=SIGN($JC$2-$JD$2),OR(JA4=$JC$2,JB4=$JD$2)),4,IF(SIGN(JA4-JB4)=SIGN($JC$2-$JD$2),3,IF(OR(JA4=$JC$2,JB4=$JD$2),1,0)))))</f>
        <v>0</v>
      </c>
      <c r="JD4" s="23"/>
      <c r="JE4" s="2"/>
      <c r="JF4" s="2"/>
      <c r="JG4" s="24">
        <f t="shared" ref="JG4:JG35" si="65">IF(AND(JE4="",JF4=""),0,IF(AND(JE4=$JG$2,JF4=$JH$2),5,IF(AND(SIGN(JE4-JF4)=SIGN($JG$2-$JH$2),OR(JE4=$JG$2,JF4=$JH$2)),4,IF(SIGN(JE4-JF4)=SIGN($JG$2-$JH$2),3,IF(OR(JE4=$JG$2,JF4=$JH$2),1,0)))))</f>
        <v>0</v>
      </c>
      <c r="JH4" s="23"/>
      <c r="JI4" s="2"/>
      <c r="JJ4" s="2"/>
      <c r="JK4" s="24">
        <f t="shared" ref="JK4:JK35" si="66">IF(AND(JI4="",JJ4=""),0,IF(AND(JI4=$JK$2,JJ4=$JL$2),5,IF(AND(SIGN(JI4-JJ4)=SIGN($JK$2-$JL$2),OR(JI4=$JK$2,JJ4=$JL$2)),4,IF(SIGN(JI4-JJ4)=SIGN($JK$2-$JL$2),3,IF(OR(JI4=$JK$2,JJ4=$JL$2),1,0)))))</f>
        <v>0</v>
      </c>
      <c r="JL4" s="23"/>
      <c r="JM4" s="2"/>
      <c r="JN4" s="2"/>
      <c r="JO4" s="24">
        <f t="shared" ref="JO4:JO35" si="67">IF(AND(JM4="",JN4=""),0,IF(AND(JM4=$JO$2,JN4=$JP$2),5,IF(AND(SIGN(JM4-JN4)=SIGN($JO$2-$JP$2),OR(JM4=$JO$2,JN4=$JP$2)),4,IF(SIGN(JM4-JN4)=SIGN($JO$2-$JP$2),3,IF(OR(JM4=$JO$2,JN4=$JP$2),1,0)))))</f>
        <v>0</v>
      </c>
      <c r="JP4" s="23"/>
      <c r="JQ4" s="2"/>
      <c r="JR4" s="2"/>
      <c r="JS4" s="24">
        <f t="shared" ref="JS4:JS35" si="68">IF(AND(JQ4="",JR4=""),0,IF(AND(JQ4=$JS$2,JR4=$JT$2),5,IF(AND(SIGN(JQ4-JR4)=SIGN($JS$2-$JT$2),OR(JQ4=$JS$2,JR4=$JT$2)),4,IF(SIGN(JQ4-JR4)=SIGN($JS$2-$JT$2),3,IF(OR(JQ4=$JS$2,JR4=$JT$2),1,0)))))</f>
        <v>0</v>
      </c>
      <c r="JT4" s="23"/>
      <c r="JU4" s="8">
        <f t="shared" ref="JU4:JU35" si="69">JG4+JK4+JO4+JS4+JC4+IY4</f>
        <v>0</v>
      </c>
      <c r="JV4" s="2"/>
      <c r="JW4" s="2"/>
      <c r="JX4" s="24">
        <f t="shared" ref="JX4:JX35" si="70">IF(AND(JV4="",JW4=""),0,IF(AND(JV4=$JX$2,JW4=$JY$2),5,IF(AND(SIGN(JV4-JW4)=SIGN($JX$2-$JY$2),OR(JV4=$JX$2,JW4=$JY$2)),4,IF(SIGN(JV4-JW4)=SIGN($JX$2-$JY$2),3,IF(OR(JV4=$JX$2,JW4=$JY$2),1,0)))))</f>
        <v>0</v>
      </c>
      <c r="JY4" s="23"/>
      <c r="JZ4" s="2"/>
      <c r="KA4" s="2"/>
      <c r="KB4" s="24">
        <f t="shared" ref="KB4:KB35" si="71">IF(AND(JZ4="",KA4=""),0,IF(AND(JZ4=$KB$2,KA4=$KC$2),5,IF(AND(SIGN(JZ4-KA4)=SIGN($KB$2-$KC$2),OR(JZ4=$KB$2,KA4=$KC$2)),4,IF(SIGN(JZ4-KA4)=SIGN($KB$2-$KC$2),3,IF(OR(JZ4=$KB$2,KA4=$KC$2),1,0)))))</f>
        <v>0</v>
      </c>
      <c r="KC4" s="23"/>
      <c r="KD4" s="2"/>
      <c r="KE4" s="2"/>
      <c r="KF4" s="24">
        <f t="shared" ref="KF4:KF35" si="72">IF(AND(KD4="",KE4=""),0,IF(AND(KD4=$KF$2,KE4=$KG$2),5,IF(AND(SIGN(KD4-KE4)=SIGN($KF$2-$KG$2),OR(KD4=$KF$2,KE4=$KG$2)),4,IF(SIGN(KD4-KE4)=SIGN($KF$2-$KG$2),3,IF(OR(KD4=$KF$2,KE4=$KG$2),1,0)))))</f>
        <v>0</v>
      </c>
      <c r="KG4" s="23"/>
      <c r="KH4" s="2"/>
      <c r="KI4" s="2"/>
      <c r="KJ4" s="24">
        <f t="shared" ref="KJ4:KJ35" si="73">IF(AND(KH4="",KI4=""),0,IF(AND(KH4=$KJ$2,KI4=$KK$2),5,IF(AND(SIGN(KH4-KI4)=SIGN($KJ$2-$KK$2),OR(KH4=$KJ$2,KI4=$KK$2)),4,IF(SIGN(KH4-KI4)=SIGN($KJ$2-$KK$2),3,IF(OR(KH4=$KJ$2,KI4=$KK$2),1,0)))))</f>
        <v>0</v>
      </c>
      <c r="KK4" s="23"/>
      <c r="KL4" s="2"/>
      <c r="KM4" s="2"/>
      <c r="KN4" s="24">
        <f t="shared" ref="KN4:KN35" si="74">IF(AND(KL4="",KM4=""),0,IF(AND(KL4=$KN$2,KM4=$KO$2),5,IF(AND(SIGN(KL4-KM4)=SIGN($KN$2-$KO$2),OR(KL4=$KN$2,KM4=$KO$2)),4,IF(SIGN(KL4-KM4)=SIGN($KN$2-$KO$2),3,IF(OR(KL4=$KN$2,KM4=$KO$2),1,0)))))</f>
        <v>0</v>
      </c>
      <c r="KO4" s="23"/>
      <c r="KP4" s="2"/>
      <c r="KQ4" s="2"/>
      <c r="KR4" s="24">
        <f t="shared" ref="KR4:KR35" si="75">IF(AND(KP4="",KQ4=""),0,IF(AND(KP4=$KR$2,KQ4=$KS$2),5,IF(AND(SIGN(KP4-KQ4)=SIGN($KR$2-$KS$2),OR(KP4=$KR$2,KQ4=$KS$2)),4,IF(SIGN(KP4-KQ4)=SIGN($KR$2-$KS$2),3,IF(OR(KP4=$KR$2,KQ4=$KS$2),1,0)))))</f>
        <v>0</v>
      </c>
      <c r="KS4" s="23"/>
      <c r="KT4" s="8">
        <f t="shared" ref="KT4:KT35" si="76">KF4+KJ4+KN4+KR4+KB4+JX4</f>
        <v>0</v>
      </c>
      <c r="KU4" s="2"/>
      <c r="KV4" s="2"/>
      <c r="KW4" s="24">
        <f t="shared" ref="KW4:KW35" si="77">IF(AND(KU4="",KV4=""),0,IF(AND(KU4=$KW$2,KV4=$KX$2),5,IF(AND(SIGN(KU4-KV4)=SIGN($KW$2-$KX$2),OR(KU4=$KW$2,KV4=$KX$2)),4,IF(SIGN(KU4-KV4)=SIGN($KW$2-$KX$2),3,IF(OR(KU4=$KW$2,KV4=$KX$2),1,0)))))</f>
        <v>0</v>
      </c>
      <c r="KX4" s="23"/>
      <c r="KY4" s="8">
        <f t="shared" ref="KY4:KY35" si="78">KW4</f>
        <v>0</v>
      </c>
      <c r="KZ4" s="2"/>
      <c r="LA4" s="2"/>
      <c r="LB4" s="24">
        <f t="shared" ref="LB4:LB35" si="79">IF(AND(KZ4="",LA4=""),0,IF(AND(KZ4=$LB$2,LA4=$LC$2),5,IF(AND(SIGN(KZ4-LA4)=SIGN($LB$2-$LC$2),OR(KZ4=$LB$2,LA4=$LC$2)),4,IF(SIGN(KZ4-LA4)=SIGN($LB$2-$LC$2),3,IF(OR(KZ4=$LB$2,LA4=$LC$2),1,0)))))</f>
        <v>0</v>
      </c>
      <c r="LC4" s="23"/>
      <c r="LD4" s="2"/>
      <c r="LE4" s="2"/>
      <c r="LF4" s="24">
        <f t="shared" ref="LF4:LF35" si="80">IF(AND(LD4="",LE4=""),0,IF(AND(LD4=$LF$2,LE4=$LG$2),5,IF(AND(SIGN(LD4-LE4)=SIGN($LF$2-$LG$2),OR(LD4=$LF$2,LE4=$LG$2)),4,IF(SIGN(LD4-LE4)=SIGN($LF$2-$LG$2),3,IF(OR(LD4=$LF$2,LE4=$LG$2),1,0)))))</f>
        <v>0</v>
      </c>
      <c r="LG4" s="23"/>
      <c r="LH4" s="2"/>
      <c r="LI4" s="2"/>
      <c r="LJ4" s="24">
        <f t="shared" ref="LJ4:LJ35" si="81">IF(AND(LH4="",LI4=""),0,IF(AND(LH4=$LJ$2,LI4=$LK$2),5,IF(AND(SIGN(LH4-LI4)=SIGN($LJ$2-$LK$2),OR(LH4=$LJ$2,LI4=$LK$2)),4,IF(SIGN(LH4-LI4)=SIGN($LJ$2-$LK$2),3,IF(OR(LH4=$LJ$2,LI4=$LK$2),1,0)))))</f>
        <v>0</v>
      </c>
      <c r="LK4" s="23"/>
      <c r="LL4" s="8">
        <f t="shared" ref="LL4:LL35" si="82">LB4+LF4+LJ4</f>
        <v>0</v>
      </c>
      <c r="LM4" s="2"/>
      <c r="LN4" s="2"/>
      <c r="LO4" s="24">
        <f t="shared" ref="LO4:LO35" si="83">IF(AND(LM4="",LN4=""),0,IF(AND(LM4=$LO$2,LN4=$LP$2),5,IF(AND(SIGN(LM4-LN4)=SIGN($LO$2-$LP$2),OR(LM4=$LO$2,LN4=$LP$2)),4,IF(SIGN(LM4-LN4)=SIGN($LO$2-$LP$2),3,IF(OR(LM4=$LO$2,LN4=$LP$2),1,0)))))</f>
        <v>0</v>
      </c>
      <c r="LP4" s="23"/>
      <c r="LQ4" s="2"/>
      <c r="LR4" s="2"/>
      <c r="LS4" s="24">
        <f t="shared" ref="LS4:LS35" si="84">IF(AND(LQ4="",LR4=""),0,IF(AND(LQ4=$LS$2,LR4=$LT$2),5,IF(AND(SIGN(LQ4-LR4)=SIGN($LS$2-$LT$2),OR(LQ4=$LS$2,LR4=$LT$2)),4,IF(SIGN(LQ4-LR4)=SIGN($LS$2-$LT$2),3,IF(OR(LQ4=$LS$2,LR4=$LT$2),1,0)))))</f>
        <v>0</v>
      </c>
      <c r="LT4" s="23"/>
      <c r="LU4" s="2"/>
      <c r="LV4" s="2"/>
      <c r="LW4" s="24">
        <f t="shared" ref="LW4:LW35" si="85">IF(AND(LU4="",LV4=""),0,IF(AND(LU4=$LW$2,LV4=$LX$2),5,IF(AND(SIGN(LU4-LV4)=SIGN($LW$2-$LX$2),OR(LU4=$LW$2,LV4=$LX$2)),4,IF(SIGN(LU4-LV4)=SIGN($LW$2-$LX$2),3,IF(OR(LU4=$LW$2,LV4=$LX$2),1,0)))))</f>
        <v>0</v>
      </c>
      <c r="LX4" s="23"/>
      <c r="LY4" s="8">
        <f t="shared" ref="LY4:LY35" si="86">LO4+LS4+LW4</f>
        <v>0</v>
      </c>
      <c r="LZ4" s="2"/>
      <c r="MA4" s="2"/>
      <c r="MB4" s="24">
        <f t="shared" ref="MB4:MB35" si="87">IF(AND(LZ4="",MA4=""),0,IF(AND(LZ4=$MB$2,MA4=$MC$2),5,IF(AND(SIGN(LZ4-MA4)=SIGN($MB$2-$MC$2),OR(LZ4=$MB$2,MA4=$MC$2)),4,IF(SIGN(LZ4-MA4)=SIGN($MB$2-$MC$2),3,IF(OR(LZ4=$MB$2,MA4=$MC$2),1,0)))))</f>
        <v>0</v>
      </c>
      <c r="MC4" s="23"/>
      <c r="MD4" s="2"/>
      <c r="ME4" s="2"/>
      <c r="MF4" s="24">
        <f t="shared" ref="MF4:MF35" si="88">IF(AND(MD4="",ME4=""),0,IF(AND(MD4=$MF$2,ME4=$MG$2),5,IF(AND(SIGN(MD4-ME4)=SIGN($MF$2-$MG$2),OR(MD4=$MF$2,ME4=$MG$2)),4,IF(SIGN(MD4-ME4)=SIGN($MF$2-$MG$2),3,IF(OR(MD4=$MF$2,ME4=$MG$2),1,0)))))</f>
        <v>0</v>
      </c>
      <c r="MG4" s="23"/>
      <c r="MH4" s="2"/>
      <c r="MI4" s="2"/>
      <c r="MJ4" s="24">
        <f t="shared" ref="MJ4:MJ35" si="89">IF(AND(MH4="",MI4=""),0,IF(AND(MH4=$MJ$2,MI4=$MK$2),5,IF(AND(SIGN(MH4-MI4)=SIGN($MJ$2-$MK$2),OR(MH4=$MJ$2,MI4=$MK$2)),4,IF(SIGN(MH4-MI4)=SIGN($MJ$2-$MK$2),3,IF(OR(MH4=$MJ$2,MI4=$MK$2),1,0)))))</f>
        <v>0</v>
      </c>
      <c r="MK4" s="23"/>
      <c r="ML4" s="8">
        <f t="shared" ref="ML4:ML35" si="90">MB4+MF4+MJ4</f>
        <v>0</v>
      </c>
      <c r="MM4" s="2"/>
      <c r="MN4" s="2"/>
      <c r="MO4" s="24">
        <f t="shared" ref="MO4:MO35" si="91">IF(AND(MM4="",MN4=""),0,IF(AND(MM4=$MO$2,MN4=$MP$2),5,IF(AND(SIGN(MM4-MN4)=SIGN($MO$2-$MP$2),OR(MM4=$MO$2,MN4=$MP$2)),4,IF(SIGN(MM4-MN4)=SIGN($MO$2-$MP$2),3,IF(OR(MM4=$MO$2,MN4=$MP$2),1,0)))))</f>
        <v>0</v>
      </c>
      <c r="MP4" s="23"/>
      <c r="MQ4" s="2"/>
      <c r="MR4" s="2"/>
      <c r="MS4" s="24">
        <f t="shared" ref="MS4:MS35" si="92">IF(AND(MQ4="",MR4=""),0,IF(AND(MQ4=$MS$2,MR4=$MT$2),5,IF(AND(SIGN(MQ4-MR4)=SIGN($MS$2-$MT$2),OR(MQ4=$MS$2,MR4=$MT$2)),4,IF(SIGN(MQ4-MR4)=SIGN($MS$2-$MT$2),3,IF(OR(MQ4=$MS$2,MR4=$MT$2),1,0)))))</f>
        <v>0</v>
      </c>
      <c r="MT4" s="23"/>
      <c r="MU4" s="2"/>
      <c r="MV4" s="2"/>
      <c r="MW4" s="24">
        <f t="shared" ref="MW4:MW35" si="93">IF(AND(MU4="",MV4=""),0,IF(AND(MU4=$MW$2,MV4=$MX$2),5,IF(AND(SIGN(MU4-MV4)=SIGN($MW$2-$MX$2),OR(MU4=$MW$2,MV4=$MX$2)),4,IF(SIGN(MU4-MV4)=SIGN($MW$2-$MX$2),3,IF(OR(MU4=$MW$2,MV4=$MX$2),1,0)))))</f>
        <v>0</v>
      </c>
      <c r="MX4" s="23"/>
      <c r="MY4" s="8">
        <f t="shared" ref="MY4:MY35" si="94">MO4+MS4+MW4</f>
        <v>0</v>
      </c>
      <c r="MZ4" s="2"/>
      <c r="NA4" s="2"/>
      <c r="NB4" s="24">
        <f t="shared" ref="NB4:NB35" si="95">IF(AND(MZ4="",NA4=""),0,IF(AND(MZ4=$NB$2,NA4=$NC$2),5,IF(AND(SIGN(MZ4-NA4)=SIGN($NB$2-$NC$2),OR(MZ4=$NB$2,NA4=$NC$2)),4,IF(SIGN(MZ4-NA4)=SIGN($NB$2-$NC$2),3,IF(OR(MZ4=$NB$2,NA4=$NC$2),1,0)))))</f>
        <v>0</v>
      </c>
      <c r="NC4" s="23"/>
      <c r="ND4" s="2"/>
      <c r="NE4" s="2"/>
      <c r="NF4" s="24">
        <f t="shared" ref="NF4:NF35" si="96">IF(AND(ND4="",NE4=""),0,IF(AND(ND4=$NF$2,NE4=$NG$2),5,IF(AND(SIGN(ND4-NE4)=SIGN($NF$2-$NG$2),OR(ND4=$NF$2,NE4=$NG$2)),4,IF(SIGN(ND4-NE4)=SIGN($NF$2-$NG$2),3,IF(OR(ND4=$NF$2,NE4=$NG$2),1,0)))))</f>
        <v>0</v>
      </c>
      <c r="NG4" s="23"/>
      <c r="NH4" s="2"/>
      <c r="NI4" s="2"/>
      <c r="NJ4" s="24">
        <f t="shared" ref="NJ4:NJ35" si="97">IF(AND(NH4="",NI4=""),0,IF(AND(NH4=$NJ$2,NI4=$NK$2),5,IF(AND(SIGN(NH4-NI4)=SIGN($NJ$2-$NK$2),OR(NH4=$NJ$2,NI4=$NK$2)),4,IF(SIGN(NH4-NI4)=SIGN($NJ$2-$NK$2),3,IF(OR(NH4=$NJ$2,NI4=$NK$2),1,0)))))</f>
        <v>0</v>
      </c>
      <c r="NK4" s="23"/>
      <c r="NL4" s="8">
        <f t="shared" ref="NL4:NL35" si="98">NB4+NF4+NJ4</f>
        <v>0</v>
      </c>
      <c r="NM4" s="2"/>
      <c r="NN4" s="2"/>
      <c r="NO4" s="24">
        <f t="shared" ref="NO4:NO35" si="99">IF(AND(NM4="",NN4=""),0,IF(AND(NM4=$NO$2,NN4=$NP$2),5,IF(AND(SIGN(NM4-NN4)=SIGN($NO$2-$NP$2),OR(NM4=$NO$2,NN4=$NP$2)),4,IF(SIGN(NM4-NN4)=SIGN($NO$2-$NP$2),3,IF(OR(NM4=$NO$2,NN4=$NP$2),1,0)))))</f>
        <v>0</v>
      </c>
      <c r="NP4" s="23"/>
      <c r="NQ4" s="2"/>
      <c r="NR4" s="2"/>
      <c r="NS4" s="24">
        <f t="shared" ref="NS4:NS35" si="100">IF(AND(NQ4="",NR4=""),0,IF(AND(NQ4=$NS$2,NR4=$NT$2),5,IF(AND(SIGN(NQ4-NR4)=SIGN($NS$2-$NT$2),OR(NQ4=$NS$2,NR4=$NT$2)),4,IF(SIGN(NQ4-NR4)=SIGN($NS$2-$NT$2),3,IF(OR(NQ4=$NS$2,NR4=$NT$2),1,0)))))</f>
        <v>0</v>
      </c>
      <c r="NT4" s="23"/>
      <c r="NU4" s="8">
        <f t="shared" ref="NU4:NU35" si="101">NO4+NS4</f>
        <v>0</v>
      </c>
      <c r="NV4" s="2"/>
      <c r="NW4" s="2"/>
      <c r="NX4" s="24">
        <f t="shared" ref="NX4:NX35" si="102">IF(AND(NV4="",NW4=""),0,IF(AND(NV4=$NX$2,NW4=$NY$2),5,IF(AND(SIGN(NV4-NW4)=SIGN($NX$2-$NY$2),OR(NV4=$NX$2,NW4=$NY$2)),4,IF(SIGN(NV4-NW4)=SIGN($NX$2-$NY$2),3,IF(OR(NV4=$NX$2,NW4=$NY$2),1,0)))))</f>
        <v>0</v>
      </c>
      <c r="NY4" s="23"/>
      <c r="NZ4" s="2"/>
      <c r="OA4" s="2"/>
      <c r="OB4" s="24">
        <f t="shared" ref="OB4:OB35" si="103">IF(AND(NZ4="",OA4=""),0,IF(AND(NZ4=$OB$2,OA4=$OC$2),5,IF(AND(SIGN(NZ4-OA4)=SIGN($OB$2-$OC$2),OR(NZ4=$OB$2,OA4=$OC$2)),4,IF(SIGN(NZ4-OA4)=SIGN($OB$2-$OC$2),3,IF(OR(NZ4=$OB$2,OA4=$OC$2),1,0)))))</f>
        <v>0</v>
      </c>
      <c r="OC4" s="23"/>
      <c r="OD4" s="8">
        <f t="shared" ref="OD4:OD35" si="104">NX4+OB4</f>
        <v>0</v>
      </c>
      <c r="OE4" s="2"/>
      <c r="OF4" s="2"/>
      <c r="OG4" s="24">
        <f t="shared" ref="OG4:OG35" si="105">IF(AND(OE4="",OF4=""),0,IF(AND(OE4=$OG$2,OF4=$OH$2),5,IF(AND(SIGN(OE4-OF4)=SIGN($OG$2-$OH$2),OR(OE4=$OG$2,OF4=$OH$2)),4,IF(SIGN(OE4-OF4)=SIGN($OG$2-$OH$2),3,IF(OR(OE4=$OG$2,OF4=$OH$2),1,0)))))</f>
        <v>0</v>
      </c>
      <c r="OH4" s="23"/>
      <c r="OI4" s="2"/>
      <c r="OJ4" s="2"/>
      <c r="OK4" s="24">
        <f t="shared" ref="OK4:OK35" si="106">IF(AND(OI4="",OJ4=""),0,IF(AND(OI4=$OK$2,OJ4=$OL$2),5,IF(AND(SIGN(OI4-OJ4)=SIGN($OK$2-$OL$2),OR(OI4=$OK$2,OJ4=$OL$2)),4,IF(SIGN(OI4-OJ4)=SIGN($OK$2-$OL$2),3,IF(OR(OI4=$OK$2,OJ4=$OL$2),1,0)))))</f>
        <v>0</v>
      </c>
      <c r="OL4" s="23"/>
      <c r="OM4" s="8">
        <f t="shared" ref="OM4:OM35" si="107">OG4+OK4</f>
        <v>0</v>
      </c>
      <c r="ON4" s="2"/>
      <c r="OO4" s="2"/>
      <c r="OP4" s="24">
        <f t="shared" ref="OP4:OP35" si="108">IF(AND(ON4="",OO4=""),0,IF(AND(ON4=$OP$2,OO4=$OQ$2),5,IF(AND(SIGN(ON4-OO4)=SIGN($OP$2-$OQ$2),OR(ON4=$OP$2,OO4=$OQ$2)),4,IF(SIGN(ON4-OO4)=SIGN($OP$2-$OQ$2),3,IF(OR(ON4=$OP$2,OO4=$OQ$2),1,0)))))</f>
        <v>0</v>
      </c>
      <c r="OQ4" s="23"/>
      <c r="OR4" s="2"/>
      <c r="OS4" s="2"/>
      <c r="OT4" s="24">
        <f t="shared" ref="OT4:OT35" si="109">IF(AND(OR4="",OS4=""),0,IF(AND(OR4=$OT$2,OS4=$OU$2),5,IF(AND(SIGN(OR4-OS4)=SIGN($OT$2-$OU$2),OR(OR4=$OT$2,OS4=$OU$2)),4,IF(SIGN(OR4-OS4)=SIGN($OT$2-$OU$2),3,IF(OR(OR4=$OT$2,OS4=$OU$2),1,0)))))</f>
        <v>0</v>
      </c>
      <c r="OU4" s="23"/>
      <c r="OV4" s="8">
        <f t="shared" ref="OV4:OV35" si="110">OP4+OT4</f>
        <v>0</v>
      </c>
      <c r="OW4" s="2"/>
      <c r="OX4" s="2"/>
      <c r="OY4" s="24">
        <f t="shared" ref="OY4:OY35" si="111">IF(AND(OW4="",OX4=""),0,IF(AND(OW4=$OY$2,OX4=$OZ$2),5,IF(AND(SIGN(OW4-OX4)=SIGN($OY$2-$OZ$2),OR(OW4=$OY$2,OX4=$OZ$2)),4,IF(SIGN(OW4-OX4)=SIGN($OY$2-$OZ$2),3,IF(OR(OW4=$OY$2,OX4=$OZ$2),1,0)))))</f>
        <v>0</v>
      </c>
      <c r="OZ4" s="23"/>
      <c r="PA4" s="8">
        <f t="shared" ref="PA4:PA35" si="112">OY4</f>
        <v>0</v>
      </c>
      <c r="PB4" s="2"/>
      <c r="PC4" s="2"/>
      <c r="PD4" s="24">
        <f t="shared" ref="PD4:PD35" si="113">IF(AND(PB4="",PC4=""),0,IF(AND(PB4=$PD$2,PC4=$PE$2),5,IF(AND(SIGN(PB4-PC4)=SIGN($PD$2-$PE$2),OR(PB4=$PD$2,PC4=$PE$2)),4,IF(SIGN(PB4-PC4)=SIGN($PD$2-$PE$2),3,IF(OR(PB4=$PD$2,PC4=$PE$2),1,0)))))</f>
        <v>0</v>
      </c>
      <c r="PE4" s="23"/>
      <c r="PF4" s="8">
        <f t="shared" ref="PF4:PF35" si="114">PD4</f>
        <v>0</v>
      </c>
      <c r="PG4" s="2"/>
      <c r="PH4" s="2"/>
      <c r="PI4" s="24">
        <f t="shared" ref="PI4:PI35" si="115">IF(AND(PG4="",PH4=""),0,IF(AND(PG4=$PI$2,PH4=$PJ$2),5,IF(AND(SIGN(PG4-PH4)=SIGN($PI$2-$PJ$2),OR(PG4=$PI$2,PH4=$PJ$2)),4,IF(SIGN(PG4-PH4)=SIGN($PI$2-$PJ$2),3,IF(OR(PG4=$PI$2,PH4=$PJ$2),1,0)))))</f>
        <v>0</v>
      </c>
      <c r="PJ4" s="23"/>
      <c r="PK4" s="2"/>
      <c r="PL4" s="2"/>
      <c r="PM4" s="24">
        <f t="shared" ref="PM4:PM35" si="116">IF(AND(PK4="",PL4=""),0,IF(AND(PK4=$PM$2,PL4=$PN$2),5,IF(AND(SIGN(PK4-PL4)=SIGN($PM$2-$PN$2),OR(PK4=$PM$2,PL4=$PN$2)),4,IF(SIGN(PK4-PL4)=SIGN($PM$2-$PN$2),3,IF(OR(PK4=$PM$2,PL4=$PN$2),1,0)))))</f>
        <v>0</v>
      </c>
      <c r="PN4" s="23"/>
      <c r="PO4" s="8">
        <f t="shared" ref="PO4:PO35" si="117">PI4+PM4</f>
        <v>0</v>
      </c>
      <c r="PP4" s="2"/>
      <c r="PQ4" s="2"/>
      <c r="PR4" s="24">
        <f t="shared" ref="PR4:PR35" si="118">IF(AND(PP4="",PQ4=""),0,IF(AND(PP4=$PR$2,PQ4=$PS$2),5,IF(AND(SIGN(PP4-PQ4)=SIGN($PR$2-$PS$2),OR(PP4=$PR$2,PQ4=$PS$2)),4,IF(SIGN(PP4-PQ4)=SIGN($PR$2-$PS$2),3,IF(OR(PP4=$PR$2,PQ4=$PS$2),1,0)))))</f>
        <v>0</v>
      </c>
      <c r="PS4" s="23"/>
      <c r="PT4" s="8">
        <f t="shared" ref="PT4:PT35" si="119">PR4</f>
        <v>0</v>
      </c>
      <c r="PU4" s="2"/>
      <c r="PV4" s="2"/>
      <c r="PW4" s="24">
        <f t="shared" ref="PW4:PW35" si="120">IF(AND(PU4="",PV4=""),0,IF(AND(PU4=$PW$2,PV4=$PX$2),5,IF(AND(SIGN(PU4-PV4)=SIGN($PW$2-$PX$2),OR(PU4=$PW$2,PV4=$PX$2)),4,IF(SIGN(PU4-PV4)=SIGN($PW$2-$PX$2),3,IF(OR(PU4=$PW$2,PV4=$PX$2),1,0)))))</f>
        <v>0</v>
      </c>
      <c r="PX4" s="23"/>
      <c r="PY4" s="8">
        <f t="shared" ref="PY4:PY35" si="121">PW4</f>
        <v>0</v>
      </c>
      <c r="PZ4" s="2"/>
      <c r="QA4" s="2"/>
      <c r="QB4" s="24">
        <f t="shared" ref="QB4:QB35" si="122">IF(AND(PZ4="",QA4=""),0,IF(AND(PZ4=$QB$2,QA4=$QC$2),5,IF(AND(SIGN(PZ4-QA4)=SIGN($QB$2-$QC$2),OR(PZ4=$QB$2,QA4=$QC$2)),4,IF(SIGN(PZ4-QA4)=SIGN($QB$2-$QC$2),3,IF(OR(PZ4=$QB$2,QA4=$QC$2),1,0)))))</f>
        <v>0</v>
      </c>
      <c r="QC4" s="23"/>
      <c r="QD4" s="8">
        <f t="shared" ref="QD4:QD35" si="123">QB4</f>
        <v>0</v>
      </c>
      <c r="QE4" s="2"/>
      <c r="QF4" s="2"/>
      <c r="QG4" s="24">
        <f t="shared" ref="QG4:QG35" si="124">IF(AND(QE4="",QF4=""),0,IF(AND(QE4=$QG$2,QF4=$QH$2),5,IF(AND(SIGN(QE4-QF4)=SIGN($QG$2-$QH$2),OR(QE4=$QG$2,QF4=$QH$2)),4,IF(SIGN(QE4-QF4)=SIGN($QG$2-$QH$2),3,IF(OR(QE4=$QG$2,QF4=$QH$2),1,0)))))</f>
        <v>0</v>
      </c>
      <c r="QH4" s="23"/>
      <c r="QI4" s="8">
        <f t="shared" ref="QI4:QI35" si="125">QG4</f>
        <v>0</v>
      </c>
    </row>
    <row r="5" spans="1:451" ht="14.25" customHeight="1" x14ac:dyDescent="0.3">
      <c r="A5" s="5" t="s">
        <v>4</v>
      </c>
      <c r="B5" s="2">
        <v>3</v>
      </c>
      <c r="C5" s="2">
        <v>1</v>
      </c>
      <c r="D5" s="24">
        <f t="shared" si="0"/>
        <v>3</v>
      </c>
      <c r="E5" s="23"/>
      <c r="F5" s="2">
        <v>3</v>
      </c>
      <c r="G5" s="2">
        <v>1</v>
      </c>
      <c r="H5" s="24">
        <f t="shared" si="1"/>
        <v>4</v>
      </c>
      <c r="I5" s="23"/>
      <c r="J5" s="8">
        <f t="shared" si="2"/>
        <v>7</v>
      </c>
      <c r="K5" s="2">
        <v>2</v>
      </c>
      <c r="L5" s="2">
        <v>0</v>
      </c>
      <c r="M5" s="24">
        <f t="shared" si="3"/>
        <v>0</v>
      </c>
      <c r="N5" s="23"/>
      <c r="O5" s="2">
        <v>1</v>
      </c>
      <c r="P5" s="2">
        <v>2</v>
      </c>
      <c r="Q5" s="33">
        <f t="shared" si="4"/>
        <v>0</v>
      </c>
      <c r="R5" s="34"/>
      <c r="S5" s="8">
        <f t="shared" si="5"/>
        <v>0</v>
      </c>
      <c r="T5" s="2">
        <v>0</v>
      </c>
      <c r="U5" s="2">
        <v>2</v>
      </c>
      <c r="V5" s="33">
        <f t="shared" si="6"/>
        <v>0</v>
      </c>
      <c r="W5" s="34"/>
      <c r="X5" s="2">
        <v>3</v>
      </c>
      <c r="Y5" s="2">
        <v>1</v>
      </c>
      <c r="Z5" s="33">
        <f t="shared" si="7"/>
        <v>1</v>
      </c>
      <c r="AA5" s="34"/>
      <c r="AB5" s="2">
        <v>0</v>
      </c>
      <c r="AC5" s="2">
        <v>2</v>
      </c>
      <c r="AD5" s="33">
        <f t="shared" si="8"/>
        <v>4</v>
      </c>
      <c r="AE5" s="34"/>
      <c r="AF5" s="2">
        <v>0</v>
      </c>
      <c r="AG5" s="2">
        <v>2</v>
      </c>
      <c r="AH5" s="33">
        <f t="shared" si="9"/>
        <v>0</v>
      </c>
      <c r="AI5" s="34"/>
      <c r="AJ5" s="8">
        <f t="shared" si="10"/>
        <v>5</v>
      </c>
      <c r="AK5" s="2">
        <v>6</v>
      </c>
      <c r="AL5" s="2">
        <v>0</v>
      </c>
      <c r="AM5" s="33">
        <f t="shared" si="11"/>
        <v>3</v>
      </c>
      <c r="AN5" s="34"/>
      <c r="AO5" s="2">
        <v>2</v>
      </c>
      <c r="AP5" s="2">
        <v>2</v>
      </c>
      <c r="AQ5" s="33">
        <f t="shared" si="12"/>
        <v>5</v>
      </c>
      <c r="AR5" s="34"/>
      <c r="AS5" s="2">
        <v>2</v>
      </c>
      <c r="AT5" s="2">
        <v>1</v>
      </c>
      <c r="AU5" s="24">
        <f t="shared" si="13"/>
        <v>3</v>
      </c>
      <c r="AV5" s="23"/>
      <c r="AW5" s="2">
        <v>3</v>
      </c>
      <c r="AX5" s="2">
        <v>0</v>
      </c>
      <c r="AY5" s="24">
        <f t="shared" si="14"/>
        <v>3</v>
      </c>
      <c r="AZ5" s="23"/>
      <c r="BA5" s="8">
        <f t="shared" si="15"/>
        <v>14</v>
      </c>
      <c r="BB5" s="2">
        <v>5</v>
      </c>
      <c r="BC5" s="2">
        <v>0</v>
      </c>
      <c r="BD5" s="24">
        <f t="shared" si="16"/>
        <v>1</v>
      </c>
      <c r="BE5" s="23"/>
      <c r="BF5" s="2">
        <v>2</v>
      </c>
      <c r="BG5" s="2">
        <v>1</v>
      </c>
      <c r="BH5" s="24">
        <f t="shared" si="17"/>
        <v>1</v>
      </c>
      <c r="BI5" s="23"/>
      <c r="BJ5" s="2">
        <v>0</v>
      </c>
      <c r="BK5" s="2">
        <v>2</v>
      </c>
      <c r="BL5" s="24">
        <f t="shared" si="18"/>
        <v>0</v>
      </c>
      <c r="BM5" s="23"/>
      <c r="BN5" s="2">
        <v>0</v>
      </c>
      <c r="BO5" s="2">
        <v>3</v>
      </c>
      <c r="BP5" s="24">
        <f t="shared" si="19"/>
        <v>0</v>
      </c>
      <c r="BQ5" s="23"/>
      <c r="BR5" s="8">
        <f t="shared" si="20"/>
        <v>2</v>
      </c>
      <c r="BS5" s="2">
        <v>4</v>
      </c>
      <c r="BT5" s="2">
        <v>0</v>
      </c>
      <c r="BU5" s="24">
        <f t="shared" si="21"/>
        <v>3</v>
      </c>
      <c r="BV5" s="23"/>
      <c r="BW5" s="2">
        <v>0</v>
      </c>
      <c r="BX5" s="2">
        <v>4</v>
      </c>
      <c r="BY5" s="24">
        <f t="shared" si="22"/>
        <v>4</v>
      </c>
      <c r="BZ5" s="23"/>
      <c r="CA5" s="2">
        <v>5</v>
      </c>
      <c r="CB5" s="2">
        <v>0</v>
      </c>
      <c r="CC5" s="24">
        <f t="shared" si="23"/>
        <v>4</v>
      </c>
      <c r="CD5" s="23"/>
      <c r="CE5" s="2">
        <v>2</v>
      </c>
      <c r="CF5" s="2">
        <v>0</v>
      </c>
      <c r="CG5" s="24">
        <f t="shared" si="24"/>
        <v>3</v>
      </c>
      <c r="CH5" s="23"/>
      <c r="CI5" s="8">
        <f t="shared" si="25"/>
        <v>14</v>
      </c>
      <c r="CJ5" s="2">
        <v>3</v>
      </c>
      <c r="CK5" s="2">
        <v>0</v>
      </c>
      <c r="CL5" s="24">
        <f t="shared" si="26"/>
        <v>0</v>
      </c>
      <c r="CM5" s="23"/>
      <c r="CN5" s="2">
        <v>2</v>
      </c>
      <c r="CO5" s="2">
        <v>1</v>
      </c>
      <c r="CP5" s="24">
        <f t="shared" si="27"/>
        <v>3</v>
      </c>
      <c r="CQ5" s="23"/>
      <c r="CR5" s="2">
        <v>3</v>
      </c>
      <c r="CS5" s="2">
        <v>0</v>
      </c>
      <c r="CT5" s="24">
        <f t="shared" si="28"/>
        <v>4</v>
      </c>
      <c r="CU5" s="23"/>
      <c r="CV5" s="2">
        <v>0</v>
      </c>
      <c r="CW5" s="2">
        <v>4</v>
      </c>
      <c r="CX5" s="24">
        <f t="shared" si="29"/>
        <v>3</v>
      </c>
      <c r="CY5" s="23"/>
      <c r="CZ5" s="8">
        <f t="shared" si="30"/>
        <v>10</v>
      </c>
      <c r="DA5" s="2">
        <v>3</v>
      </c>
      <c r="DB5" s="2">
        <v>1</v>
      </c>
      <c r="DC5" s="24">
        <f t="shared" ref="DC5:DC35" si="126">IF(AND(DA5="",DB5=""),0,IF(AND(DA5=$DC$2,DB5=$DD$2),5,IF(AND(SIGN(DA5-DB5)=SIGN($DC$2-$DD$2),OR(DA5=$DC$2,DB5=$DD$2)),4,IF(SIGN(DA5-DB5)=SIGN($DC$2-$DD$2),3,IF(OR(DA5=$DC$2,DB5=$DD$2),1,0)))))</f>
        <v>1</v>
      </c>
      <c r="DD5" s="23"/>
      <c r="DE5" s="2">
        <v>2</v>
      </c>
      <c r="DF5" s="2">
        <v>0</v>
      </c>
      <c r="DG5" s="24">
        <f t="shared" ref="DG5:DG35" si="127">IF(AND(DE5="",DF5=""),0,IF(AND(DE5=$DG$2,DF5=$DH$2),5,IF(AND(SIGN(DE5-DF5)=SIGN($DG$2-$DH$2),OR(DE5=$DG$2,DF5=$DH$2)),4,IF(SIGN(DE5-DF5)=SIGN($DG$2-$DH$2),3,IF(OR(DE5=$DG$2,DF5=$DH$2),1,0)))))</f>
        <v>3</v>
      </c>
      <c r="DH5" s="23"/>
      <c r="DI5" s="2">
        <v>2</v>
      </c>
      <c r="DJ5" s="2">
        <v>1</v>
      </c>
      <c r="DK5" s="24">
        <f t="shared" ref="DK5:DK35" si="128">IF(AND(DI5="",DJ5=""),0,IF(AND(DI5=$DK$2,DJ5=$DL$2),5,IF(AND(SIGN(DI5-DJ5)=SIGN($DK$2-$DL$2),OR(DI5=$DK$2,DJ5=$DL$2)),4,IF(SIGN(DI5-DJ5)=SIGN($DK$2-$DL$2),3,IF(OR(DI5=$DK$2,DJ5=$DL$2),1,0)))))</f>
        <v>3</v>
      </c>
      <c r="DL5" s="23"/>
      <c r="DM5" s="2">
        <v>1</v>
      </c>
      <c r="DN5" s="2">
        <v>2</v>
      </c>
      <c r="DO5" s="24">
        <f t="shared" ref="DO5:DO35" si="129">IF(AND(DM5="",DN5=""),0,IF(AND(DM5=$DO$2,DN5=$DP$2),5,IF(AND(SIGN(DM5-DN5)=SIGN($DO$2-$DP$2),OR(DM5=$DO$2,DN5=$DP$2)),4,IF(SIGN(DM5-DN5)=SIGN($DO$2-$DP$2),3,IF(OR(DM5=$DO$2,DN5=$DP$2),1,0)))))</f>
        <v>1</v>
      </c>
      <c r="DP5" s="23"/>
      <c r="DQ5" s="8">
        <f t="shared" si="31"/>
        <v>8</v>
      </c>
      <c r="DR5" s="2">
        <v>5</v>
      </c>
      <c r="DS5" s="2">
        <v>0</v>
      </c>
      <c r="DT5" s="24">
        <f t="shared" ref="DT5:DT35" si="130">IF(AND(DR5="",DS5=""),0,IF(AND(DR5=$DT$2,DS5=$DU$2),5,IF(AND(SIGN(DR5-DS5)=SIGN($DT$2-$DU$2),OR(DR5=$DT$2,DS5=$DU$2)),4,IF(SIGN(DR5-DS5)=SIGN($DT$2-$DU$2),3,IF(OR(DR5=$DT$2,DS5=$DU$2),1,0)))))</f>
        <v>4</v>
      </c>
      <c r="DU5" s="23"/>
      <c r="DV5" s="2">
        <v>2</v>
      </c>
      <c r="DW5" s="2">
        <v>0</v>
      </c>
      <c r="DX5" s="24">
        <f t="shared" ref="DX5:DX35" si="131">IF(AND(DV5="",DW5=""),0,IF(AND(DV5=$DX$2,DW5=$DY$2),5,IF(AND(SIGN(DV5-DW5)=SIGN($DX$2-$DY$2),OR(DV5=$DX$2,DW5=$DY$2)),4,IF(SIGN(DV5-DW5)=SIGN($DX$2-$DY$2),3,IF(OR(DV5=$DX$2,DW5=$DY$2),1,0)))))</f>
        <v>0</v>
      </c>
      <c r="DY5" s="23"/>
      <c r="DZ5" s="2">
        <v>6</v>
      </c>
      <c r="EA5" s="2">
        <v>0</v>
      </c>
      <c r="EB5" s="24">
        <f t="shared" ref="EB5:EB35" si="132">IF(AND(DZ5="",EA5=""),0,IF(AND(DZ5=$EB$2,EA5=$EC$2),5,IF(AND(SIGN(DZ5-EA5)=SIGN($EB$2-$EC$2),OR(DZ5=$EB$2,EA5=$EC$2)),4,IF(SIGN(DZ5-EA5)=SIGN($EB$2-$EC$2),3,IF(OR(DZ5=$EB$2,EA5=$EC$2),1,0)))))</f>
        <v>4</v>
      </c>
      <c r="EC5" s="23"/>
      <c r="ED5" s="2">
        <v>0</v>
      </c>
      <c r="EE5" s="2">
        <v>2</v>
      </c>
      <c r="EF5" s="24">
        <f t="shared" ref="EF5:EF35" si="133">IF(AND(ED5="",EE5=""),0,IF(AND(ED5=$EF$2,EE5=$EG$2),5,IF(AND(SIGN(ED5-EE5)=SIGN($EF$2-$EG$2),OR(ED5=$EF$2,EE5=$EG$2)),4,IF(SIGN(ED5-EE5)=SIGN($EF$2-$EG$2),3,IF(OR(ED5=$EF$2,EE5=$EG$2),1,0)))))</f>
        <v>4</v>
      </c>
      <c r="EG5" s="23"/>
      <c r="EH5" s="8">
        <f t="shared" si="32"/>
        <v>12</v>
      </c>
      <c r="EI5" s="21">
        <v>2</v>
      </c>
      <c r="EJ5" s="21">
        <v>1</v>
      </c>
      <c r="EK5" s="24">
        <f t="shared" si="33"/>
        <v>4</v>
      </c>
      <c r="EL5" s="23"/>
      <c r="EM5" s="21">
        <v>3</v>
      </c>
      <c r="EN5" s="21">
        <v>0</v>
      </c>
      <c r="EO5" s="24">
        <f t="shared" si="34"/>
        <v>3</v>
      </c>
      <c r="EP5" s="23"/>
      <c r="EQ5" s="21">
        <v>2</v>
      </c>
      <c r="ER5" s="21">
        <v>0</v>
      </c>
      <c r="ES5" s="24">
        <f t="shared" si="35"/>
        <v>1</v>
      </c>
      <c r="ET5" s="23"/>
      <c r="EU5" s="21">
        <v>0</v>
      </c>
      <c r="EV5" s="21">
        <v>3</v>
      </c>
      <c r="EW5" s="24">
        <f t="shared" si="36"/>
        <v>4</v>
      </c>
      <c r="EX5" s="23"/>
      <c r="EY5" s="8">
        <v>6</v>
      </c>
      <c r="EZ5" s="2">
        <v>2</v>
      </c>
      <c r="FA5" s="2">
        <v>0</v>
      </c>
      <c r="FB5" s="24"/>
      <c r="FC5" s="23"/>
      <c r="FD5" s="2">
        <v>2</v>
      </c>
      <c r="FE5" s="2">
        <v>1</v>
      </c>
      <c r="FF5" s="24"/>
      <c r="FG5" s="23"/>
      <c r="FH5" s="2">
        <v>2</v>
      </c>
      <c r="FI5" s="2">
        <v>0</v>
      </c>
      <c r="FJ5" s="24"/>
      <c r="FK5" s="23"/>
      <c r="FL5" s="2">
        <v>0</v>
      </c>
      <c r="FM5" s="2">
        <v>2</v>
      </c>
      <c r="FN5" s="24"/>
      <c r="FO5" s="23"/>
      <c r="FP5" s="8">
        <f t="shared" si="38"/>
        <v>0</v>
      </c>
      <c r="FQ5" s="2"/>
      <c r="FR5" s="2"/>
      <c r="FS5" s="24">
        <f t="shared" si="39"/>
        <v>0</v>
      </c>
      <c r="FT5" s="23"/>
      <c r="FU5" s="2"/>
      <c r="FV5" s="2"/>
      <c r="FW5" s="24">
        <f t="shared" si="40"/>
        <v>0</v>
      </c>
      <c r="FX5" s="23"/>
      <c r="FY5" s="2"/>
      <c r="FZ5" s="2"/>
      <c r="GA5" s="24">
        <f t="shared" si="41"/>
        <v>0</v>
      </c>
      <c r="GB5" s="23"/>
      <c r="GC5" s="2"/>
      <c r="GD5" s="2"/>
      <c r="GE5" s="24">
        <f t="shared" si="42"/>
        <v>0</v>
      </c>
      <c r="GF5" s="23"/>
      <c r="GG5" s="8">
        <f t="shared" si="43"/>
        <v>0</v>
      </c>
      <c r="GH5" s="2"/>
      <c r="GI5" s="2"/>
      <c r="GJ5" s="24">
        <f t="shared" si="44"/>
        <v>0</v>
      </c>
      <c r="GK5" s="23"/>
      <c r="GL5" s="2"/>
      <c r="GM5" s="2"/>
      <c r="GN5" s="24">
        <f t="shared" si="45"/>
        <v>0</v>
      </c>
      <c r="GO5" s="23"/>
      <c r="GP5" s="2"/>
      <c r="GQ5" s="2"/>
      <c r="GR5" s="24">
        <f t="shared" si="46"/>
        <v>0</v>
      </c>
      <c r="GS5" s="23"/>
      <c r="GT5" s="2"/>
      <c r="GU5" s="2"/>
      <c r="GV5" s="24">
        <f t="shared" si="47"/>
        <v>0</v>
      </c>
      <c r="GW5" s="23"/>
      <c r="GX5" s="8">
        <f t="shared" si="48"/>
        <v>0</v>
      </c>
      <c r="GY5" s="2"/>
      <c r="GZ5" s="2"/>
      <c r="HA5" s="24">
        <f t="shared" si="49"/>
        <v>0</v>
      </c>
      <c r="HB5" s="23"/>
      <c r="HC5" s="2"/>
      <c r="HD5" s="2"/>
      <c r="HE5" s="24">
        <f t="shared" si="50"/>
        <v>0</v>
      </c>
      <c r="HF5" s="23"/>
      <c r="HG5" s="2"/>
      <c r="HH5" s="2"/>
      <c r="HI5" s="24">
        <f t="shared" si="51"/>
        <v>0</v>
      </c>
      <c r="HJ5" s="23"/>
      <c r="HK5" s="2"/>
      <c r="HL5" s="2"/>
      <c r="HM5" s="24">
        <f t="shared" si="52"/>
        <v>0</v>
      </c>
      <c r="HN5" s="23"/>
      <c r="HO5" s="2"/>
      <c r="HP5" s="2"/>
      <c r="HQ5" s="24">
        <f t="shared" si="53"/>
        <v>0</v>
      </c>
      <c r="HR5" s="23"/>
      <c r="HS5" s="2"/>
      <c r="HT5" s="2"/>
      <c r="HU5" s="24">
        <f t="shared" si="54"/>
        <v>0</v>
      </c>
      <c r="HV5" s="23"/>
      <c r="HW5" s="8">
        <f t="shared" si="55"/>
        <v>0</v>
      </c>
      <c r="HX5" s="2"/>
      <c r="HY5" s="2"/>
      <c r="HZ5" s="24">
        <f t="shared" si="56"/>
        <v>0</v>
      </c>
      <c r="IA5" s="23"/>
      <c r="IB5" s="2"/>
      <c r="IC5" s="2"/>
      <c r="ID5" s="24">
        <f t="shared" si="57"/>
        <v>0</v>
      </c>
      <c r="IE5" s="23"/>
      <c r="IF5" s="2"/>
      <c r="IG5" s="2"/>
      <c r="IH5" s="24">
        <f t="shared" si="58"/>
        <v>0</v>
      </c>
      <c r="II5" s="23"/>
      <c r="IJ5" s="2"/>
      <c r="IK5" s="2"/>
      <c r="IL5" s="24">
        <f t="shared" si="59"/>
        <v>0</v>
      </c>
      <c r="IM5" s="23"/>
      <c r="IN5" s="2"/>
      <c r="IO5" s="2"/>
      <c r="IP5" s="24">
        <f t="shared" si="60"/>
        <v>0</v>
      </c>
      <c r="IQ5" s="23"/>
      <c r="IR5" s="2"/>
      <c r="IS5" s="2"/>
      <c r="IT5" s="24">
        <f t="shared" si="61"/>
        <v>0</v>
      </c>
      <c r="IU5" s="23"/>
      <c r="IV5" s="8">
        <f t="shared" si="62"/>
        <v>0</v>
      </c>
      <c r="IW5" s="2"/>
      <c r="IX5" s="2"/>
      <c r="IY5" s="24">
        <f t="shared" si="63"/>
        <v>0</v>
      </c>
      <c r="IZ5" s="23"/>
      <c r="JA5" s="2"/>
      <c r="JB5" s="2"/>
      <c r="JC5" s="24">
        <f t="shared" si="64"/>
        <v>0</v>
      </c>
      <c r="JD5" s="23"/>
      <c r="JE5" s="2"/>
      <c r="JF5" s="2"/>
      <c r="JG5" s="24">
        <f t="shared" si="65"/>
        <v>0</v>
      </c>
      <c r="JH5" s="23"/>
      <c r="JI5" s="2"/>
      <c r="JJ5" s="2"/>
      <c r="JK5" s="24">
        <f t="shared" si="66"/>
        <v>0</v>
      </c>
      <c r="JL5" s="23"/>
      <c r="JM5" s="2"/>
      <c r="JN5" s="2"/>
      <c r="JO5" s="24">
        <f t="shared" si="67"/>
        <v>0</v>
      </c>
      <c r="JP5" s="23"/>
      <c r="JQ5" s="2"/>
      <c r="JR5" s="2"/>
      <c r="JS5" s="24">
        <f t="shared" si="68"/>
        <v>0</v>
      </c>
      <c r="JT5" s="23"/>
      <c r="JU5" s="8">
        <f t="shared" si="69"/>
        <v>0</v>
      </c>
      <c r="JV5" s="2"/>
      <c r="JW5" s="2"/>
      <c r="JX5" s="24">
        <f t="shared" si="70"/>
        <v>0</v>
      </c>
      <c r="JY5" s="23"/>
      <c r="JZ5" s="2"/>
      <c r="KA5" s="2"/>
      <c r="KB5" s="24">
        <f t="shared" si="71"/>
        <v>0</v>
      </c>
      <c r="KC5" s="23"/>
      <c r="KD5" s="2"/>
      <c r="KE5" s="2"/>
      <c r="KF5" s="24">
        <f t="shared" si="72"/>
        <v>0</v>
      </c>
      <c r="KG5" s="23"/>
      <c r="KH5" s="2"/>
      <c r="KI5" s="2"/>
      <c r="KJ5" s="24">
        <f t="shared" si="73"/>
        <v>0</v>
      </c>
      <c r="KK5" s="23"/>
      <c r="KL5" s="2"/>
      <c r="KM5" s="2"/>
      <c r="KN5" s="24">
        <f t="shared" si="74"/>
        <v>0</v>
      </c>
      <c r="KO5" s="23"/>
      <c r="KP5" s="2"/>
      <c r="KQ5" s="2"/>
      <c r="KR5" s="24">
        <f t="shared" si="75"/>
        <v>0</v>
      </c>
      <c r="KS5" s="23"/>
      <c r="KT5" s="8">
        <f t="shared" si="76"/>
        <v>0</v>
      </c>
      <c r="KU5" s="2"/>
      <c r="KV5" s="2"/>
      <c r="KW5" s="24">
        <f t="shared" si="77"/>
        <v>0</v>
      </c>
      <c r="KX5" s="23"/>
      <c r="KY5" s="8">
        <f t="shared" si="78"/>
        <v>0</v>
      </c>
      <c r="KZ5" s="2"/>
      <c r="LA5" s="2"/>
      <c r="LB5" s="24">
        <f t="shared" si="79"/>
        <v>0</v>
      </c>
      <c r="LC5" s="23"/>
      <c r="LD5" s="2"/>
      <c r="LE5" s="2"/>
      <c r="LF5" s="24">
        <f t="shared" si="80"/>
        <v>0</v>
      </c>
      <c r="LG5" s="23"/>
      <c r="LH5" s="2"/>
      <c r="LI5" s="2"/>
      <c r="LJ5" s="24">
        <f t="shared" si="81"/>
        <v>0</v>
      </c>
      <c r="LK5" s="23"/>
      <c r="LL5" s="8">
        <f t="shared" si="82"/>
        <v>0</v>
      </c>
      <c r="LM5" s="2"/>
      <c r="LN5" s="2"/>
      <c r="LO5" s="24">
        <f t="shared" si="83"/>
        <v>0</v>
      </c>
      <c r="LP5" s="23"/>
      <c r="LQ5" s="2"/>
      <c r="LR5" s="2"/>
      <c r="LS5" s="24">
        <f t="shared" si="84"/>
        <v>0</v>
      </c>
      <c r="LT5" s="23"/>
      <c r="LU5" s="2"/>
      <c r="LV5" s="2"/>
      <c r="LW5" s="24">
        <f t="shared" si="85"/>
        <v>0</v>
      </c>
      <c r="LX5" s="23"/>
      <c r="LY5" s="8">
        <f t="shared" si="86"/>
        <v>0</v>
      </c>
      <c r="LZ5" s="2"/>
      <c r="MA5" s="2"/>
      <c r="MB5" s="24">
        <f t="shared" si="87"/>
        <v>0</v>
      </c>
      <c r="MC5" s="23"/>
      <c r="MD5" s="2"/>
      <c r="ME5" s="2"/>
      <c r="MF5" s="24">
        <f t="shared" si="88"/>
        <v>0</v>
      </c>
      <c r="MG5" s="23"/>
      <c r="MH5" s="2"/>
      <c r="MI5" s="2"/>
      <c r="MJ5" s="24">
        <f t="shared" si="89"/>
        <v>0</v>
      </c>
      <c r="MK5" s="23"/>
      <c r="ML5" s="8">
        <f t="shared" si="90"/>
        <v>0</v>
      </c>
      <c r="MM5" s="2"/>
      <c r="MN5" s="2"/>
      <c r="MO5" s="24">
        <f t="shared" si="91"/>
        <v>0</v>
      </c>
      <c r="MP5" s="23"/>
      <c r="MQ5" s="2"/>
      <c r="MR5" s="2"/>
      <c r="MS5" s="24">
        <f t="shared" si="92"/>
        <v>0</v>
      </c>
      <c r="MT5" s="23"/>
      <c r="MU5" s="2"/>
      <c r="MV5" s="2"/>
      <c r="MW5" s="24">
        <f t="shared" si="93"/>
        <v>0</v>
      </c>
      <c r="MX5" s="23"/>
      <c r="MY5" s="8">
        <f t="shared" si="94"/>
        <v>0</v>
      </c>
      <c r="MZ5" s="2"/>
      <c r="NA5" s="2"/>
      <c r="NB5" s="24">
        <f t="shared" si="95"/>
        <v>0</v>
      </c>
      <c r="NC5" s="23"/>
      <c r="ND5" s="2"/>
      <c r="NE5" s="2"/>
      <c r="NF5" s="24">
        <f t="shared" si="96"/>
        <v>0</v>
      </c>
      <c r="NG5" s="23"/>
      <c r="NH5" s="2"/>
      <c r="NI5" s="2"/>
      <c r="NJ5" s="24">
        <f t="shared" si="97"/>
        <v>0</v>
      </c>
      <c r="NK5" s="23"/>
      <c r="NL5" s="8">
        <f t="shared" si="98"/>
        <v>0</v>
      </c>
      <c r="NM5" s="2"/>
      <c r="NN5" s="2"/>
      <c r="NO5" s="24">
        <f t="shared" si="99"/>
        <v>0</v>
      </c>
      <c r="NP5" s="23"/>
      <c r="NQ5" s="2"/>
      <c r="NR5" s="2"/>
      <c r="NS5" s="24">
        <f t="shared" si="100"/>
        <v>0</v>
      </c>
      <c r="NT5" s="23"/>
      <c r="NU5" s="8">
        <f t="shared" si="101"/>
        <v>0</v>
      </c>
      <c r="NV5" s="2"/>
      <c r="NW5" s="2"/>
      <c r="NX5" s="24">
        <f t="shared" si="102"/>
        <v>0</v>
      </c>
      <c r="NY5" s="23"/>
      <c r="NZ5" s="2"/>
      <c r="OA5" s="2"/>
      <c r="OB5" s="24">
        <f t="shared" si="103"/>
        <v>0</v>
      </c>
      <c r="OC5" s="23"/>
      <c r="OD5" s="8">
        <f t="shared" si="104"/>
        <v>0</v>
      </c>
      <c r="OE5" s="2"/>
      <c r="OF5" s="2"/>
      <c r="OG5" s="24">
        <f t="shared" si="105"/>
        <v>0</v>
      </c>
      <c r="OH5" s="23"/>
      <c r="OI5" s="2"/>
      <c r="OJ5" s="2"/>
      <c r="OK5" s="24">
        <f t="shared" si="106"/>
        <v>0</v>
      </c>
      <c r="OL5" s="23"/>
      <c r="OM5" s="8">
        <f t="shared" si="107"/>
        <v>0</v>
      </c>
      <c r="ON5" s="2"/>
      <c r="OO5" s="2"/>
      <c r="OP5" s="24">
        <f t="shared" si="108"/>
        <v>0</v>
      </c>
      <c r="OQ5" s="23"/>
      <c r="OR5" s="2"/>
      <c r="OS5" s="2"/>
      <c r="OT5" s="24">
        <f t="shared" si="109"/>
        <v>0</v>
      </c>
      <c r="OU5" s="23"/>
      <c r="OV5" s="8">
        <f t="shared" si="110"/>
        <v>0</v>
      </c>
      <c r="OW5" s="2"/>
      <c r="OX5" s="2"/>
      <c r="OY5" s="24">
        <f t="shared" si="111"/>
        <v>0</v>
      </c>
      <c r="OZ5" s="23"/>
      <c r="PA5" s="8">
        <f t="shared" si="112"/>
        <v>0</v>
      </c>
      <c r="PB5" s="2"/>
      <c r="PC5" s="2"/>
      <c r="PD5" s="24">
        <f t="shared" si="113"/>
        <v>0</v>
      </c>
      <c r="PE5" s="23"/>
      <c r="PF5" s="8">
        <f t="shared" si="114"/>
        <v>0</v>
      </c>
      <c r="PG5" s="2"/>
      <c r="PH5" s="2"/>
      <c r="PI5" s="24">
        <f t="shared" si="115"/>
        <v>0</v>
      </c>
      <c r="PJ5" s="23"/>
      <c r="PK5" s="2"/>
      <c r="PL5" s="2"/>
      <c r="PM5" s="24">
        <f t="shared" si="116"/>
        <v>0</v>
      </c>
      <c r="PN5" s="23"/>
      <c r="PO5" s="8">
        <f t="shared" si="117"/>
        <v>0</v>
      </c>
      <c r="PP5" s="2"/>
      <c r="PQ5" s="2"/>
      <c r="PR5" s="24">
        <f t="shared" si="118"/>
        <v>0</v>
      </c>
      <c r="PS5" s="23"/>
      <c r="PT5" s="8">
        <f t="shared" si="119"/>
        <v>0</v>
      </c>
      <c r="PU5" s="2"/>
      <c r="PV5" s="2"/>
      <c r="PW5" s="24">
        <f t="shared" si="120"/>
        <v>0</v>
      </c>
      <c r="PX5" s="23"/>
      <c r="PY5" s="8">
        <f t="shared" si="121"/>
        <v>0</v>
      </c>
      <c r="PZ5" s="2"/>
      <c r="QA5" s="2"/>
      <c r="QB5" s="24">
        <f t="shared" si="122"/>
        <v>0</v>
      </c>
      <c r="QC5" s="23"/>
      <c r="QD5" s="8">
        <f t="shared" si="123"/>
        <v>0</v>
      </c>
      <c r="QE5" s="2"/>
      <c r="QF5" s="2"/>
      <c r="QG5" s="24">
        <f t="shared" si="124"/>
        <v>0</v>
      </c>
      <c r="QH5" s="23"/>
      <c r="QI5" s="8">
        <f t="shared" si="125"/>
        <v>0</v>
      </c>
    </row>
    <row r="6" spans="1:451" ht="14.25" customHeight="1" x14ac:dyDescent="0.3">
      <c r="A6" s="5" t="s">
        <v>5</v>
      </c>
      <c r="B6" s="2">
        <v>2</v>
      </c>
      <c r="C6" s="2">
        <v>0</v>
      </c>
      <c r="D6" s="24">
        <f t="shared" si="0"/>
        <v>5</v>
      </c>
      <c r="E6" s="23"/>
      <c r="F6" s="2">
        <v>1</v>
      </c>
      <c r="G6" s="2">
        <v>1</v>
      </c>
      <c r="H6" s="24">
        <f t="shared" si="1"/>
        <v>1</v>
      </c>
      <c r="I6" s="23"/>
      <c r="J6" s="8">
        <f t="shared" si="2"/>
        <v>6</v>
      </c>
      <c r="K6" s="2">
        <v>2</v>
      </c>
      <c r="L6" s="2">
        <v>1</v>
      </c>
      <c r="M6" s="24">
        <f t="shared" si="3"/>
        <v>1</v>
      </c>
      <c r="N6" s="23"/>
      <c r="O6" s="2">
        <v>1</v>
      </c>
      <c r="P6" s="2">
        <v>1</v>
      </c>
      <c r="Q6" s="24">
        <f t="shared" si="4"/>
        <v>1</v>
      </c>
      <c r="R6" s="23"/>
      <c r="S6" s="8">
        <f t="shared" si="5"/>
        <v>2</v>
      </c>
      <c r="T6" s="2">
        <v>0</v>
      </c>
      <c r="U6" s="2">
        <v>2</v>
      </c>
      <c r="V6" s="24">
        <f t="shared" si="6"/>
        <v>0</v>
      </c>
      <c r="W6" s="23"/>
      <c r="X6" s="2">
        <v>2</v>
      </c>
      <c r="Y6" s="2">
        <v>1</v>
      </c>
      <c r="Z6" s="24">
        <f t="shared" si="7"/>
        <v>1</v>
      </c>
      <c r="AA6" s="23"/>
      <c r="AB6" s="2">
        <v>0</v>
      </c>
      <c r="AC6" s="2">
        <v>2</v>
      </c>
      <c r="AD6" s="24">
        <f t="shared" si="8"/>
        <v>4</v>
      </c>
      <c r="AE6" s="23"/>
      <c r="AF6" s="2">
        <v>0</v>
      </c>
      <c r="AG6" s="2">
        <v>2</v>
      </c>
      <c r="AH6" s="24">
        <f t="shared" si="9"/>
        <v>0</v>
      </c>
      <c r="AI6" s="23"/>
      <c r="AJ6" s="8">
        <f t="shared" si="10"/>
        <v>5</v>
      </c>
      <c r="AK6" s="2">
        <v>5</v>
      </c>
      <c r="AL6" s="2">
        <v>0</v>
      </c>
      <c r="AM6" s="24">
        <f t="shared" si="11"/>
        <v>3</v>
      </c>
      <c r="AN6" s="23"/>
      <c r="AO6" s="2">
        <v>2</v>
      </c>
      <c r="AP6" s="2">
        <v>1</v>
      </c>
      <c r="AQ6" s="24">
        <f t="shared" si="12"/>
        <v>1</v>
      </c>
      <c r="AR6" s="23"/>
      <c r="AS6" s="2">
        <v>1</v>
      </c>
      <c r="AT6" s="2">
        <v>2</v>
      </c>
      <c r="AU6" s="24">
        <f t="shared" si="13"/>
        <v>1</v>
      </c>
      <c r="AV6" s="23"/>
      <c r="AW6" s="2">
        <v>2</v>
      </c>
      <c r="AX6" s="2">
        <v>0</v>
      </c>
      <c r="AY6" s="24">
        <f t="shared" si="14"/>
        <v>3</v>
      </c>
      <c r="AZ6" s="23"/>
      <c r="BA6" s="8">
        <f t="shared" si="15"/>
        <v>8</v>
      </c>
      <c r="BB6" s="2">
        <v>5</v>
      </c>
      <c r="BC6" s="2">
        <v>0</v>
      </c>
      <c r="BD6" s="24">
        <f t="shared" si="16"/>
        <v>1</v>
      </c>
      <c r="BE6" s="23"/>
      <c r="BF6" s="2">
        <v>2</v>
      </c>
      <c r="BG6" s="2">
        <v>1</v>
      </c>
      <c r="BH6" s="24">
        <f t="shared" si="17"/>
        <v>1</v>
      </c>
      <c r="BI6" s="23"/>
      <c r="BJ6" s="2">
        <v>1</v>
      </c>
      <c r="BK6" s="2">
        <v>2</v>
      </c>
      <c r="BL6" s="24">
        <f t="shared" si="18"/>
        <v>1</v>
      </c>
      <c r="BM6" s="23"/>
      <c r="BN6" s="2">
        <v>2</v>
      </c>
      <c r="BO6" s="2">
        <v>0</v>
      </c>
      <c r="BP6" s="24">
        <f t="shared" si="19"/>
        <v>1</v>
      </c>
      <c r="BQ6" s="23"/>
      <c r="BR6" s="8">
        <f t="shared" si="20"/>
        <v>4</v>
      </c>
      <c r="BS6" s="2">
        <v>3</v>
      </c>
      <c r="BT6" s="2">
        <v>0</v>
      </c>
      <c r="BU6" s="24">
        <f t="shared" si="21"/>
        <v>4</v>
      </c>
      <c r="BV6" s="23"/>
      <c r="BW6" s="2">
        <v>0</v>
      </c>
      <c r="BX6" s="2">
        <v>2</v>
      </c>
      <c r="BY6" s="24">
        <f t="shared" si="22"/>
        <v>3</v>
      </c>
      <c r="BZ6" s="23"/>
      <c r="CA6" s="2">
        <v>3</v>
      </c>
      <c r="CB6" s="2">
        <v>0</v>
      </c>
      <c r="CC6" s="24">
        <f t="shared" si="23"/>
        <v>5</v>
      </c>
      <c r="CD6" s="23"/>
      <c r="CE6" s="2">
        <v>2</v>
      </c>
      <c r="CF6" s="2">
        <v>1</v>
      </c>
      <c r="CG6" s="24">
        <f t="shared" si="24"/>
        <v>4</v>
      </c>
      <c r="CH6" s="23"/>
      <c r="CI6" s="8">
        <f t="shared" si="25"/>
        <v>16</v>
      </c>
      <c r="CJ6" s="2">
        <v>4</v>
      </c>
      <c r="CK6" s="2">
        <v>0</v>
      </c>
      <c r="CL6" s="24">
        <f t="shared" si="26"/>
        <v>0</v>
      </c>
      <c r="CM6" s="23"/>
      <c r="CN6" s="2">
        <v>2</v>
      </c>
      <c r="CO6" s="2">
        <v>1</v>
      </c>
      <c r="CP6" s="24">
        <f t="shared" si="27"/>
        <v>3</v>
      </c>
      <c r="CQ6" s="23"/>
      <c r="CR6" s="2">
        <v>1</v>
      </c>
      <c r="CS6" s="2">
        <v>1</v>
      </c>
      <c r="CT6" s="24">
        <f t="shared" si="28"/>
        <v>1</v>
      </c>
      <c r="CU6" s="23"/>
      <c r="CV6" s="2">
        <v>0</v>
      </c>
      <c r="CW6" s="2">
        <v>2</v>
      </c>
      <c r="CX6" s="24">
        <f t="shared" si="29"/>
        <v>3</v>
      </c>
      <c r="CY6" s="23"/>
      <c r="CZ6" s="8">
        <f t="shared" si="30"/>
        <v>7</v>
      </c>
      <c r="DA6" s="2">
        <v>2</v>
      </c>
      <c r="DB6" s="2">
        <v>0</v>
      </c>
      <c r="DC6" s="24">
        <f t="shared" si="126"/>
        <v>0</v>
      </c>
      <c r="DD6" s="23"/>
      <c r="DE6" s="2">
        <v>1</v>
      </c>
      <c r="DF6" s="2">
        <v>1</v>
      </c>
      <c r="DG6" s="24">
        <f t="shared" si="127"/>
        <v>1</v>
      </c>
      <c r="DH6" s="23"/>
      <c r="DI6" s="2">
        <v>2</v>
      </c>
      <c r="DJ6" s="2">
        <v>1</v>
      </c>
      <c r="DK6" s="24">
        <f t="shared" si="128"/>
        <v>3</v>
      </c>
      <c r="DL6" s="23"/>
      <c r="DM6" s="2">
        <v>2</v>
      </c>
      <c r="DN6" s="2">
        <v>2</v>
      </c>
      <c r="DO6" s="24">
        <f t="shared" si="129"/>
        <v>0</v>
      </c>
      <c r="DP6" s="23"/>
      <c r="DQ6" s="8">
        <f t="shared" si="31"/>
        <v>4</v>
      </c>
      <c r="DR6" s="2">
        <v>3</v>
      </c>
      <c r="DS6" s="2">
        <v>1</v>
      </c>
      <c r="DT6" s="24">
        <f t="shared" si="130"/>
        <v>3</v>
      </c>
      <c r="DU6" s="23"/>
      <c r="DV6" s="2">
        <v>1</v>
      </c>
      <c r="DW6" s="2">
        <v>2</v>
      </c>
      <c r="DX6" s="24">
        <f t="shared" si="131"/>
        <v>3</v>
      </c>
      <c r="DY6" s="23"/>
      <c r="DZ6" s="2">
        <v>3</v>
      </c>
      <c r="EA6" s="2">
        <v>0</v>
      </c>
      <c r="EB6" s="24">
        <f t="shared" si="132"/>
        <v>5</v>
      </c>
      <c r="EC6" s="23"/>
      <c r="ED6" s="2">
        <v>2</v>
      </c>
      <c r="EE6" s="2">
        <v>1</v>
      </c>
      <c r="EF6" s="24">
        <f t="shared" si="133"/>
        <v>1</v>
      </c>
      <c r="EG6" s="23"/>
      <c r="EH6" s="8">
        <f t="shared" si="32"/>
        <v>12</v>
      </c>
      <c r="EI6" s="2">
        <v>2</v>
      </c>
      <c r="EJ6" s="2">
        <v>2</v>
      </c>
      <c r="EK6" s="24">
        <f t="shared" si="33"/>
        <v>0</v>
      </c>
      <c r="EL6" s="23"/>
      <c r="EM6" s="2">
        <v>3</v>
      </c>
      <c r="EN6" s="2">
        <v>1</v>
      </c>
      <c r="EO6" s="24">
        <f t="shared" si="34"/>
        <v>4</v>
      </c>
      <c r="EP6" s="23"/>
      <c r="EQ6" s="2">
        <v>2</v>
      </c>
      <c r="ER6" s="2">
        <v>0</v>
      </c>
      <c r="ES6" s="24">
        <f t="shared" si="35"/>
        <v>1</v>
      </c>
      <c r="ET6" s="23"/>
      <c r="EU6" s="2">
        <v>1</v>
      </c>
      <c r="EV6" s="2">
        <v>2</v>
      </c>
      <c r="EW6" s="24">
        <f t="shared" si="36"/>
        <v>3</v>
      </c>
      <c r="EX6" s="23"/>
      <c r="EY6" s="8">
        <f t="shared" si="37"/>
        <v>8</v>
      </c>
      <c r="EZ6" s="2">
        <v>3</v>
      </c>
      <c r="FA6" s="2">
        <v>0</v>
      </c>
      <c r="FB6" s="24"/>
      <c r="FC6" s="23"/>
      <c r="FD6" s="2">
        <v>2</v>
      </c>
      <c r="FE6" s="2">
        <v>1</v>
      </c>
      <c r="FF6" s="24"/>
      <c r="FG6" s="23"/>
      <c r="FH6" s="2">
        <v>2</v>
      </c>
      <c r="FI6" s="2">
        <v>0</v>
      </c>
      <c r="FJ6" s="24"/>
      <c r="FK6" s="23"/>
      <c r="FL6" s="2">
        <v>0</v>
      </c>
      <c r="FM6" s="2">
        <v>2</v>
      </c>
      <c r="FN6" s="24"/>
      <c r="FO6" s="23"/>
      <c r="FP6" s="8">
        <f t="shared" si="38"/>
        <v>0</v>
      </c>
      <c r="FQ6" s="2"/>
      <c r="FR6" s="2"/>
      <c r="FS6" s="24">
        <f t="shared" si="39"/>
        <v>0</v>
      </c>
      <c r="FT6" s="23"/>
      <c r="FU6" s="2"/>
      <c r="FV6" s="2"/>
      <c r="FW6" s="24">
        <f t="shared" si="40"/>
        <v>0</v>
      </c>
      <c r="FX6" s="23"/>
      <c r="FY6" s="2"/>
      <c r="FZ6" s="2"/>
      <c r="GA6" s="24">
        <f t="shared" si="41"/>
        <v>0</v>
      </c>
      <c r="GB6" s="23"/>
      <c r="GC6" s="2"/>
      <c r="GD6" s="2"/>
      <c r="GE6" s="24">
        <f t="shared" si="42"/>
        <v>0</v>
      </c>
      <c r="GF6" s="23"/>
      <c r="GG6" s="8">
        <f t="shared" si="43"/>
        <v>0</v>
      </c>
      <c r="GH6" s="2"/>
      <c r="GI6" s="2"/>
      <c r="GJ6" s="24">
        <f t="shared" si="44"/>
        <v>0</v>
      </c>
      <c r="GK6" s="23"/>
      <c r="GL6" s="2"/>
      <c r="GM6" s="2"/>
      <c r="GN6" s="24">
        <f t="shared" si="45"/>
        <v>0</v>
      </c>
      <c r="GO6" s="23"/>
      <c r="GP6" s="2"/>
      <c r="GQ6" s="2"/>
      <c r="GR6" s="24">
        <f t="shared" si="46"/>
        <v>0</v>
      </c>
      <c r="GS6" s="23"/>
      <c r="GT6" s="2"/>
      <c r="GU6" s="2"/>
      <c r="GV6" s="24">
        <f t="shared" si="47"/>
        <v>0</v>
      </c>
      <c r="GW6" s="23"/>
      <c r="GX6" s="8">
        <f t="shared" si="48"/>
        <v>0</v>
      </c>
      <c r="GY6" s="2"/>
      <c r="GZ6" s="2"/>
      <c r="HA6" s="24">
        <f t="shared" si="49"/>
        <v>0</v>
      </c>
      <c r="HB6" s="23"/>
      <c r="HC6" s="2"/>
      <c r="HD6" s="2"/>
      <c r="HE6" s="24">
        <f t="shared" si="50"/>
        <v>0</v>
      </c>
      <c r="HF6" s="23"/>
      <c r="HG6" s="2"/>
      <c r="HH6" s="2"/>
      <c r="HI6" s="24">
        <f t="shared" si="51"/>
        <v>0</v>
      </c>
      <c r="HJ6" s="23"/>
      <c r="HK6" s="2"/>
      <c r="HL6" s="2"/>
      <c r="HM6" s="24">
        <f t="shared" si="52"/>
        <v>0</v>
      </c>
      <c r="HN6" s="23"/>
      <c r="HO6" s="2"/>
      <c r="HP6" s="2"/>
      <c r="HQ6" s="24">
        <f t="shared" si="53"/>
        <v>0</v>
      </c>
      <c r="HR6" s="23"/>
      <c r="HS6" s="2"/>
      <c r="HT6" s="2"/>
      <c r="HU6" s="24">
        <f t="shared" si="54"/>
        <v>0</v>
      </c>
      <c r="HV6" s="23"/>
      <c r="HW6" s="8">
        <f t="shared" si="55"/>
        <v>0</v>
      </c>
      <c r="HX6" s="2"/>
      <c r="HY6" s="2"/>
      <c r="HZ6" s="24">
        <f t="shared" si="56"/>
        <v>0</v>
      </c>
      <c r="IA6" s="23"/>
      <c r="IB6" s="2"/>
      <c r="IC6" s="2"/>
      <c r="ID6" s="24">
        <f t="shared" si="57"/>
        <v>0</v>
      </c>
      <c r="IE6" s="23"/>
      <c r="IF6" s="2"/>
      <c r="IG6" s="2"/>
      <c r="IH6" s="24">
        <f t="shared" si="58"/>
        <v>0</v>
      </c>
      <c r="II6" s="23"/>
      <c r="IJ6" s="2"/>
      <c r="IK6" s="2"/>
      <c r="IL6" s="24">
        <f t="shared" si="59"/>
        <v>0</v>
      </c>
      <c r="IM6" s="23"/>
      <c r="IN6" s="2"/>
      <c r="IO6" s="2"/>
      <c r="IP6" s="24">
        <f t="shared" si="60"/>
        <v>0</v>
      </c>
      <c r="IQ6" s="23"/>
      <c r="IR6" s="2"/>
      <c r="IS6" s="2"/>
      <c r="IT6" s="24">
        <f t="shared" si="61"/>
        <v>0</v>
      </c>
      <c r="IU6" s="23"/>
      <c r="IV6" s="8">
        <f t="shared" si="62"/>
        <v>0</v>
      </c>
      <c r="IW6" s="2"/>
      <c r="IX6" s="2"/>
      <c r="IY6" s="24">
        <f t="shared" si="63"/>
        <v>0</v>
      </c>
      <c r="IZ6" s="23"/>
      <c r="JA6" s="2"/>
      <c r="JB6" s="2"/>
      <c r="JC6" s="24">
        <f t="shared" si="64"/>
        <v>0</v>
      </c>
      <c r="JD6" s="23"/>
      <c r="JE6" s="2"/>
      <c r="JF6" s="2"/>
      <c r="JG6" s="24">
        <f t="shared" si="65"/>
        <v>0</v>
      </c>
      <c r="JH6" s="23"/>
      <c r="JI6" s="2"/>
      <c r="JJ6" s="2"/>
      <c r="JK6" s="24">
        <f t="shared" si="66"/>
        <v>0</v>
      </c>
      <c r="JL6" s="23"/>
      <c r="JM6" s="2"/>
      <c r="JN6" s="2"/>
      <c r="JO6" s="24">
        <f t="shared" si="67"/>
        <v>0</v>
      </c>
      <c r="JP6" s="23"/>
      <c r="JQ6" s="2"/>
      <c r="JR6" s="2"/>
      <c r="JS6" s="24">
        <f t="shared" si="68"/>
        <v>0</v>
      </c>
      <c r="JT6" s="23"/>
      <c r="JU6" s="8">
        <f t="shared" si="69"/>
        <v>0</v>
      </c>
      <c r="JV6" s="2"/>
      <c r="JW6" s="2"/>
      <c r="JX6" s="24">
        <f t="shared" si="70"/>
        <v>0</v>
      </c>
      <c r="JY6" s="23"/>
      <c r="JZ6" s="2"/>
      <c r="KA6" s="2"/>
      <c r="KB6" s="24">
        <f t="shared" si="71"/>
        <v>0</v>
      </c>
      <c r="KC6" s="23"/>
      <c r="KD6" s="2"/>
      <c r="KE6" s="2"/>
      <c r="KF6" s="24">
        <f t="shared" si="72"/>
        <v>0</v>
      </c>
      <c r="KG6" s="23"/>
      <c r="KH6" s="2"/>
      <c r="KI6" s="2"/>
      <c r="KJ6" s="24">
        <f t="shared" si="73"/>
        <v>0</v>
      </c>
      <c r="KK6" s="23"/>
      <c r="KL6" s="2"/>
      <c r="KM6" s="2"/>
      <c r="KN6" s="24">
        <f t="shared" si="74"/>
        <v>0</v>
      </c>
      <c r="KO6" s="23"/>
      <c r="KP6" s="2"/>
      <c r="KQ6" s="2"/>
      <c r="KR6" s="24">
        <f t="shared" si="75"/>
        <v>0</v>
      </c>
      <c r="KS6" s="23"/>
      <c r="KT6" s="8">
        <f t="shared" si="76"/>
        <v>0</v>
      </c>
      <c r="KU6" s="2"/>
      <c r="KV6" s="2"/>
      <c r="KW6" s="24">
        <f t="shared" si="77"/>
        <v>0</v>
      </c>
      <c r="KX6" s="23"/>
      <c r="KY6" s="8">
        <f t="shared" si="78"/>
        <v>0</v>
      </c>
      <c r="KZ6" s="2"/>
      <c r="LA6" s="2"/>
      <c r="LB6" s="24">
        <f t="shared" si="79"/>
        <v>0</v>
      </c>
      <c r="LC6" s="23"/>
      <c r="LD6" s="2"/>
      <c r="LE6" s="2"/>
      <c r="LF6" s="24">
        <f t="shared" si="80"/>
        <v>0</v>
      </c>
      <c r="LG6" s="23"/>
      <c r="LH6" s="2"/>
      <c r="LI6" s="2"/>
      <c r="LJ6" s="24">
        <f t="shared" si="81"/>
        <v>0</v>
      </c>
      <c r="LK6" s="23"/>
      <c r="LL6" s="8">
        <f t="shared" si="82"/>
        <v>0</v>
      </c>
      <c r="LM6" s="2"/>
      <c r="LN6" s="2"/>
      <c r="LO6" s="24">
        <f t="shared" si="83"/>
        <v>0</v>
      </c>
      <c r="LP6" s="23"/>
      <c r="LQ6" s="2"/>
      <c r="LR6" s="2"/>
      <c r="LS6" s="24">
        <f t="shared" si="84"/>
        <v>0</v>
      </c>
      <c r="LT6" s="23"/>
      <c r="LU6" s="2"/>
      <c r="LV6" s="2"/>
      <c r="LW6" s="24">
        <f t="shared" si="85"/>
        <v>0</v>
      </c>
      <c r="LX6" s="23"/>
      <c r="LY6" s="8">
        <f t="shared" si="86"/>
        <v>0</v>
      </c>
      <c r="LZ6" s="2"/>
      <c r="MA6" s="2"/>
      <c r="MB6" s="24">
        <f t="shared" si="87"/>
        <v>0</v>
      </c>
      <c r="MC6" s="23"/>
      <c r="MD6" s="2"/>
      <c r="ME6" s="2"/>
      <c r="MF6" s="24">
        <f t="shared" si="88"/>
        <v>0</v>
      </c>
      <c r="MG6" s="23"/>
      <c r="MH6" s="2"/>
      <c r="MI6" s="2"/>
      <c r="MJ6" s="24">
        <f t="shared" si="89"/>
        <v>0</v>
      </c>
      <c r="MK6" s="23"/>
      <c r="ML6" s="8">
        <f t="shared" si="90"/>
        <v>0</v>
      </c>
      <c r="MM6" s="2"/>
      <c r="MN6" s="2"/>
      <c r="MO6" s="24">
        <f t="shared" si="91"/>
        <v>0</v>
      </c>
      <c r="MP6" s="23"/>
      <c r="MQ6" s="2"/>
      <c r="MR6" s="2"/>
      <c r="MS6" s="24">
        <f t="shared" si="92"/>
        <v>0</v>
      </c>
      <c r="MT6" s="23"/>
      <c r="MU6" s="2"/>
      <c r="MV6" s="2"/>
      <c r="MW6" s="24">
        <f t="shared" si="93"/>
        <v>0</v>
      </c>
      <c r="MX6" s="23"/>
      <c r="MY6" s="8">
        <f t="shared" si="94"/>
        <v>0</v>
      </c>
      <c r="MZ6" s="2"/>
      <c r="NA6" s="2"/>
      <c r="NB6" s="24">
        <f t="shared" si="95"/>
        <v>0</v>
      </c>
      <c r="NC6" s="23"/>
      <c r="ND6" s="2"/>
      <c r="NE6" s="2"/>
      <c r="NF6" s="24">
        <f t="shared" si="96"/>
        <v>0</v>
      </c>
      <c r="NG6" s="23"/>
      <c r="NH6" s="2"/>
      <c r="NI6" s="2"/>
      <c r="NJ6" s="24">
        <f t="shared" si="97"/>
        <v>0</v>
      </c>
      <c r="NK6" s="23"/>
      <c r="NL6" s="8">
        <f t="shared" si="98"/>
        <v>0</v>
      </c>
      <c r="NM6" s="2"/>
      <c r="NN6" s="2"/>
      <c r="NO6" s="24">
        <f t="shared" si="99"/>
        <v>0</v>
      </c>
      <c r="NP6" s="23"/>
      <c r="NQ6" s="2"/>
      <c r="NR6" s="2"/>
      <c r="NS6" s="24">
        <f t="shared" si="100"/>
        <v>0</v>
      </c>
      <c r="NT6" s="23"/>
      <c r="NU6" s="8">
        <f t="shared" si="101"/>
        <v>0</v>
      </c>
      <c r="NV6" s="2"/>
      <c r="NW6" s="2"/>
      <c r="NX6" s="24">
        <f t="shared" si="102"/>
        <v>0</v>
      </c>
      <c r="NY6" s="23"/>
      <c r="NZ6" s="2"/>
      <c r="OA6" s="2"/>
      <c r="OB6" s="24">
        <f t="shared" si="103"/>
        <v>0</v>
      </c>
      <c r="OC6" s="23"/>
      <c r="OD6" s="8">
        <f t="shared" si="104"/>
        <v>0</v>
      </c>
      <c r="OE6" s="2"/>
      <c r="OF6" s="2"/>
      <c r="OG6" s="24">
        <f t="shared" si="105"/>
        <v>0</v>
      </c>
      <c r="OH6" s="23"/>
      <c r="OI6" s="2"/>
      <c r="OJ6" s="2"/>
      <c r="OK6" s="24">
        <f t="shared" si="106"/>
        <v>0</v>
      </c>
      <c r="OL6" s="23"/>
      <c r="OM6" s="8">
        <f t="shared" si="107"/>
        <v>0</v>
      </c>
      <c r="ON6" s="2"/>
      <c r="OO6" s="2"/>
      <c r="OP6" s="24">
        <f t="shared" si="108"/>
        <v>0</v>
      </c>
      <c r="OQ6" s="23"/>
      <c r="OR6" s="2"/>
      <c r="OS6" s="2"/>
      <c r="OT6" s="24">
        <f t="shared" si="109"/>
        <v>0</v>
      </c>
      <c r="OU6" s="23"/>
      <c r="OV6" s="8">
        <f t="shared" si="110"/>
        <v>0</v>
      </c>
      <c r="OW6" s="2"/>
      <c r="OX6" s="2"/>
      <c r="OY6" s="24">
        <f t="shared" si="111"/>
        <v>0</v>
      </c>
      <c r="OZ6" s="23"/>
      <c r="PA6" s="8">
        <f t="shared" si="112"/>
        <v>0</v>
      </c>
      <c r="PB6" s="2"/>
      <c r="PC6" s="2"/>
      <c r="PD6" s="24">
        <f t="shared" si="113"/>
        <v>0</v>
      </c>
      <c r="PE6" s="23"/>
      <c r="PF6" s="8">
        <f t="shared" si="114"/>
        <v>0</v>
      </c>
      <c r="PG6" s="2"/>
      <c r="PH6" s="2"/>
      <c r="PI6" s="24">
        <f t="shared" si="115"/>
        <v>0</v>
      </c>
      <c r="PJ6" s="23"/>
      <c r="PK6" s="2"/>
      <c r="PL6" s="2"/>
      <c r="PM6" s="24">
        <f t="shared" si="116"/>
        <v>0</v>
      </c>
      <c r="PN6" s="23"/>
      <c r="PO6" s="8">
        <f t="shared" si="117"/>
        <v>0</v>
      </c>
      <c r="PP6" s="2"/>
      <c r="PQ6" s="2"/>
      <c r="PR6" s="24">
        <f t="shared" si="118"/>
        <v>0</v>
      </c>
      <c r="PS6" s="23"/>
      <c r="PT6" s="8">
        <f t="shared" si="119"/>
        <v>0</v>
      </c>
      <c r="PU6" s="2"/>
      <c r="PV6" s="2"/>
      <c r="PW6" s="24">
        <f t="shared" si="120"/>
        <v>0</v>
      </c>
      <c r="PX6" s="23"/>
      <c r="PY6" s="8">
        <f t="shared" si="121"/>
        <v>0</v>
      </c>
      <c r="PZ6" s="2"/>
      <c r="QA6" s="2"/>
      <c r="QB6" s="24">
        <f t="shared" si="122"/>
        <v>0</v>
      </c>
      <c r="QC6" s="23"/>
      <c r="QD6" s="8">
        <f t="shared" si="123"/>
        <v>0</v>
      </c>
      <c r="QE6" s="2"/>
      <c r="QF6" s="2"/>
      <c r="QG6" s="24">
        <f t="shared" si="124"/>
        <v>0</v>
      </c>
      <c r="QH6" s="23"/>
      <c r="QI6" s="8">
        <f t="shared" si="125"/>
        <v>0</v>
      </c>
    </row>
    <row r="7" spans="1:451" x14ac:dyDescent="0.3">
      <c r="A7" s="5" t="s">
        <v>6</v>
      </c>
      <c r="B7" s="2">
        <v>2</v>
      </c>
      <c r="C7" s="2">
        <v>0</v>
      </c>
      <c r="D7" s="24">
        <f t="shared" si="0"/>
        <v>5</v>
      </c>
      <c r="E7" s="23"/>
      <c r="F7" s="2">
        <v>1</v>
      </c>
      <c r="G7" s="2">
        <v>1</v>
      </c>
      <c r="H7" s="24">
        <f t="shared" si="1"/>
        <v>1</v>
      </c>
      <c r="I7" s="23"/>
      <c r="J7" s="8">
        <f t="shared" si="2"/>
        <v>6</v>
      </c>
      <c r="K7" s="2">
        <v>2</v>
      </c>
      <c r="L7" s="2">
        <v>1</v>
      </c>
      <c r="M7" s="24">
        <f t="shared" si="3"/>
        <v>1</v>
      </c>
      <c r="N7" s="23"/>
      <c r="O7" s="2">
        <v>1</v>
      </c>
      <c r="P7" s="2">
        <v>1</v>
      </c>
      <c r="Q7" s="24">
        <f t="shared" si="4"/>
        <v>1</v>
      </c>
      <c r="R7" s="23"/>
      <c r="S7" s="8">
        <f t="shared" si="5"/>
        <v>2</v>
      </c>
      <c r="T7" s="2">
        <v>0</v>
      </c>
      <c r="U7" s="2">
        <v>2</v>
      </c>
      <c r="V7" s="24">
        <f t="shared" si="6"/>
        <v>0</v>
      </c>
      <c r="W7" s="23"/>
      <c r="X7" s="2">
        <v>2</v>
      </c>
      <c r="Y7" s="2">
        <v>1</v>
      </c>
      <c r="Z7" s="24">
        <f t="shared" si="7"/>
        <v>1</v>
      </c>
      <c r="AA7" s="23"/>
      <c r="AB7" s="2">
        <v>0</v>
      </c>
      <c r="AC7" s="2">
        <v>2</v>
      </c>
      <c r="AD7" s="24">
        <f t="shared" si="8"/>
        <v>4</v>
      </c>
      <c r="AE7" s="23"/>
      <c r="AF7" s="2">
        <v>1</v>
      </c>
      <c r="AG7" s="2">
        <v>1</v>
      </c>
      <c r="AH7" s="24">
        <f t="shared" si="9"/>
        <v>0</v>
      </c>
      <c r="AI7" s="23"/>
      <c r="AJ7" s="8">
        <f t="shared" si="10"/>
        <v>5</v>
      </c>
      <c r="AK7" s="2">
        <v>3</v>
      </c>
      <c r="AL7" s="2">
        <v>0</v>
      </c>
      <c r="AM7" s="24">
        <f t="shared" si="11"/>
        <v>3</v>
      </c>
      <c r="AN7" s="23"/>
      <c r="AO7" s="2">
        <v>1</v>
      </c>
      <c r="AP7" s="2">
        <v>2</v>
      </c>
      <c r="AQ7" s="24">
        <f t="shared" si="12"/>
        <v>1</v>
      </c>
      <c r="AR7" s="23"/>
      <c r="AS7" s="2">
        <v>1</v>
      </c>
      <c r="AT7" s="2">
        <v>1</v>
      </c>
      <c r="AU7" s="24">
        <f t="shared" si="13"/>
        <v>1</v>
      </c>
      <c r="AV7" s="23"/>
      <c r="AW7" s="2">
        <v>1</v>
      </c>
      <c r="AX7" s="2">
        <v>1</v>
      </c>
      <c r="AY7" s="24">
        <f t="shared" si="14"/>
        <v>1</v>
      </c>
      <c r="AZ7" s="23"/>
      <c r="BA7" s="8">
        <f t="shared" si="15"/>
        <v>6</v>
      </c>
      <c r="BB7" s="2">
        <v>3</v>
      </c>
      <c r="BC7" s="2">
        <v>0</v>
      </c>
      <c r="BD7" s="24">
        <f t="shared" si="16"/>
        <v>1</v>
      </c>
      <c r="BE7" s="23"/>
      <c r="BF7" s="2">
        <v>2</v>
      </c>
      <c r="BG7" s="2">
        <v>1</v>
      </c>
      <c r="BH7" s="24">
        <f t="shared" si="17"/>
        <v>1</v>
      </c>
      <c r="BI7" s="23"/>
      <c r="BJ7" s="2">
        <v>0</v>
      </c>
      <c r="BK7" s="2">
        <v>2</v>
      </c>
      <c r="BL7" s="24">
        <f t="shared" si="18"/>
        <v>0</v>
      </c>
      <c r="BM7" s="23"/>
      <c r="BN7" s="2">
        <v>1</v>
      </c>
      <c r="BO7" s="2">
        <v>1</v>
      </c>
      <c r="BP7" s="24">
        <f t="shared" si="19"/>
        <v>3</v>
      </c>
      <c r="BQ7" s="23"/>
      <c r="BR7" s="8">
        <f t="shared" si="20"/>
        <v>5</v>
      </c>
      <c r="BS7" s="2">
        <v>3</v>
      </c>
      <c r="BT7" s="2">
        <v>1</v>
      </c>
      <c r="BU7" s="24">
        <f t="shared" si="21"/>
        <v>5</v>
      </c>
      <c r="BV7" s="23"/>
      <c r="BW7" s="2">
        <v>2</v>
      </c>
      <c r="BX7" s="2">
        <v>2</v>
      </c>
      <c r="BY7" s="24">
        <f t="shared" si="22"/>
        <v>0</v>
      </c>
      <c r="BZ7" s="23"/>
      <c r="CA7" s="2">
        <v>3</v>
      </c>
      <c r="CB7" s="2">
        <v>1</v>
      </c>
      <c r="CC7" s="24">
        <f t="shared" si="23"/>
        <v>4</v>
      </c>
      <c r="CD7" s="23"/>
      <c r="CE7" s="2">
        <v>2</v>
      </c>
      <c r="CF7" s="2">
        <v>1</v>
      </c>
      <c r="CG7" s="24">
        <f t="shared" si="24"/>
        <v>4</v>
      </c>
      <c r="CH7" s="23"/>
      <c r="CI7" s="8">
        <f t="shared" si="25"/>
        <v>13</v>
      </c>
      <c r="CJ7" s="2">
        <v>3</v>
      </c>
      <c r="CK7" s="2">
        <v>1</v>
      </c>
      <c r="CL7" s="24">
        <f t="shared" si="26"/>
        <v>1</v>
      </c>
      <c r="CM7" s="23"/>
      <c r="CN7" s="2">
        <v>1</v>
      </c>
      <c r="CO7" s="2">
        <v>1</v>
      </c>
      <c r="CP7" s="24">
        <f t="shared" si="27"/>
        <v>0</v>
      </c>
      <c r="CQ7" s="23"/>
      <c r="CR7" s="2">
        <v>2</v>
      </c>
      <c r="CS7" s="2">
        <v>1</v>
      </c>
      <c r="CT7" s="24">
        <f t="shared" si="28"/>
        <v>3</v>
      </c>
      <c r="CU7" s="23"/>
      <c r="CV7" s="2">
        <v>1</v>
      </c>
      <c r="CW7" s="2">
        <v>2</v>
      </c>
      <c r="CX7" s="24">
        <f t="shared" si="29"/>
        <v>4</v>
      </c>
      <c r="CY7" s="23"/>
      <c r="CZ7" s="8">
        <f t="shared" si="30"/>
        <v>8</v>
      </c>
      <c r="DA7" s="2">
        <v>2</v>
      </c>
      <c r="DB7" s="2">
        <v>1</v>
      </c>
      <c r="DC7" s="24">
        <f t="shared" si="126"/>
        <v>1</v>
      </c>
      <c r="DD7" s="23"/>
      <c r="DE7" s="2">
        <v>1</v>
      </c>
      <c r="DF7" s="2">
        <v>2</v>
      </c>
      <c r="DG7" s="24">
        <f t="shared" si="127"/>
        <v>0</v>
      </c>
      <c r="DH7" s="23"/>
      <c r="DI7" s="2">
        <v>2</v>
      </c>
      <c r="DJ7" s="2">
        <v>0</v>
      </c>
      <c r="DK7" s="24">
        <f t="shared" si="128"/>
        <v>4</v>
      </c>
      <c r="DL7" s="23"/>
      <c r="DM7" s="2">
        <v>2</v>
      </c>
      <c r="DN7" s="2">
        <v>2</v>
      </c>
      <c r="DO7" s="24">
        <f t="shared" si="129"/>
        <v>0</v>
      </c>
      <c r="DP7" s="23"/>
      <c r="DQ7" s="8">
        <f t="shared" si="31"/>
        <v>5</v>
      </c>
      <c r="DR7" s="21">
        <v>2</v>
      </c>
      <c r="DS7" s="21">
        <v>1</v>
      </c>
      <c r="DT7" s="24">
        <f t="shared" si="130"/>
        <v>4</v>
      </c>
      <c r="DU7" s="23"/>
      <c r="DV7" s="21">
        <v>1</v>
      </c>
      <c r="DW7" s="21">
        <v>2</v>
      </c>
      <c r="DX7" s="24">
        <f t="shared" si="131"/>
        <v>3</v>
      </c>
      <c r="DY7" s="23"/>
      <c r="DZ7" s="21">
        <v>3</v>
      </c>
      <c r="EA7" s="21">
        <v>0</v>
      </c>
      <c r="EB7" s="24">
        <f t="shared" si="132"/>
        <v>5</v>
      </c>
      <c r="EC7" s="23"/>
      <c r="ED7" s="21">
        <v>2</v>
      </c>
      <c r="EE7" s="21">
        <v>1</v>
      </c>
      <c r="EF7" s="24">
        <f t="shared" si="133"/>
        <v>1</v>
      </c>
      <c r="EG7" s="23"/>
      <c r="EH7" s="8">
        <v>6.5</v>
      </c>
      <c r="EI7" s="2">
        <v>2</v>
      </c>
      <c r="EJ7" s="2">
        <v>1</v>
      </c>
      <c r="EK7" s="24">
        <f t="shared" si="33"/>
        <v>4</v>
      </c>
      <c r="EL7" s="23"/>
      <c r="EM7" s="2">
        <v>3</v>
      </c>
      <c r="EN7" s="2">
        <v>1</v>
      </c>
      <c r="EO7" s="24">
        <f t="shared" si="34"/>
        <v>4</v>
      </c>
      <c r="EP7" s="23"/>
      <c r="EQ7" s="2">
        <v>2</v>
      </c>
      <c r="ER7" s="2">
        <v>1</v>
      </c>
      <c r="ES7" s="24">
        <f t="shared" si="35"/>
        <v>0</v>
      </c>
      <c r="ET7" s="23"/>
      <c r="EU7" s="2">
        <v>1</v>
      </c>
      <c r="EV7" s="2">
        <v>3</v>
      </c>
      <c r="EW7" s="24">
        <f t="shared" si="36"/>
        <v>3</v>
      </c>
      <c r="EX7" s="23"/>
      <c r="EY7" s="8">
        <f t="shared" si="37"/>
        <v>11</v>
      </c>
      <c r="EZ7" s="2">
        <v>3</v>
      </c>
      <c r="FA7" s="2">
        <v>1</v>
      </c>
      <c r="FB7" s="24"/>
      <c r="FC7" s="23"/>
      <c r="FD7" s="2">
        <v>2</v>
      </c>
      <c r="FE7" s="2">
        <v>0</v>
      </c>
      <c r="FF7" s="24"/>
      <c r="FG7" s="23"/>
      <c r="FH7" s="2">
        <v>3</v>
      </c>
      <c r="FI7" s="2">
        <v>0</v>
      </c>
      <c r="FJ7" s="24"/>
      <c r="FK7" s="23"/>
      <c r="FL7" s="2">
        <v>1</v>
      </c>
      <c r="FM7" s="2">
        <v>1</v>
      </c>
      <c r="FN7" s="24"/>
      <c r="FO7" s="23"/>
      <c r="FP7" s="8">
        <f t="shared" si="38"/>
        <v>0</v>
      </c>
      <c r="FQ7" s="2"/>
      <c r="FR7" s="2"/>
      <c r="FS7" s="24">
        <f t="shared" si="39"/>
        <v>0</v>
      </c>
      <c r="FT7" s="23"/>
      <c r="FU7" s="2"/>
      <c r="FV7" s="2"/>
      <c r="FW7" s="24">
        <f t="shared" si="40"/>
        <v>0</v>
      </c>
      <c r="FX7" s="23"/>
      <c r="FY7" s="2"/>
      <c r="FZ7" s="2"/>
      <c r="GA7" s="24">
        <f t="shared" si="41"/>
        <v>0</v>
      </c>
      <c r="GB7" s="23"/>
      <c r="GC7" s="2"/>
      <c r="GD7" s="2"/>
      <c r="GE7" s="24">
        <f t="shared" si="42"/>
        <v>0</v>
      </c>
      <c r="GF7" s="23"/>
      <c r="GG7" s="8">
        <f t="shared" si="43"/>
        <v>0</v>
      </c>
      <c r="GH7" s="2"/>
      <c r="GI7" s="2"/>
      <c r="GJ7" s="24">
        <f t="shared" si="44"/>
        <v>0</v>
      </c>
      <c r="GK7" s="23"/>
      <c r="GL7" s="2"/>
      <c r="GM7" s="2"/>
      <c r="GN7" s="24">
        <f t="shared" si="45"/>
        <v>0</v>
      </c>
      <c r="GO7" s="23"/>
      <c r="GP7" s="2"/>
      <c r="GQ7" s="2"/>
      <c r="GR7" s="24">
        <f t="shared" si="46"/>
        <v>0</v>
      </c>
      <c r="GS7" s="23"/>
      <c r="GT7" s="2"/>
      <c r="GU7" s="2"/>
      <c r="GV7" s="24">
        <f t="shared" si="47"/>
        <v>0</v>
      </c>
      <c r="GW7" s="23"/>
      <c r="GX7" s="8">
        <f t="shared" si="48"/>
        <v>0</v>
      </c>
      <c r="GY7" s="2"/>
      <c r="GZ7" s="2"/>
      <c r="HA7" s="24">
        <f t="shared" si="49"/>
        <v>0</v>
      </c>
      <c r="HB7" s="23"/>
      <c r="HC7" s="2"/>
      <c r="HD7" s="2"/>
      <c r="HE7" s="24">
        <f t="shared" si="50"/>
        <v>0</v>
      </c>
      <c r="HF7" s="23"/>
      <c r="HG7" s="2"/>
      <c r="HH7" s="2"/>
      <c r="HI7" s="24">
        <f t="shared" si="51"/>
        <v>0</v>
      </c>
      <c r="HJ7" s="23"/>
      <c r="HK7" s="2"/>
      <c r="HL7" s="2"/>
      <c r="HM7" s="24">
        <f t="shared" si="52"/>
        <v>0</v>
      </c>
      <c r="HN7" s="23"/>
      <c r="HO7" s="2"/>
      <c r="HP7" s="2"/>
      <c r="HQ7" s="24">
        <f t="shared" si="53"/>
        <v>0</v>
      </c>
      <c r="HR7" s="23"/>
      <c r="HS7" s="2"/>
      <c r="HT7" s="2"/>
      <c r="HU7" s="24">
        <f t="shared" si="54"/>
        <v>0</v>
      </c>
      <c r="HV7" s="23"/>
      <c r="HW7" s="8">
        <f t="shared" si="55"/>
        <v>0</v>
      </c>
      <c r="HX7" s="2"/>
      <c r="HY7" s="2"/>
      <c r="HZ7" s="24">
        <f t="shared" si="56"/>
        <v>0</v>
      </c>
      <c r="IA7" s="23"/>
      <c r="IB7" s="2"/>
      <c r="IC7" s="2"/>
      <c r="ID7" s="24">
        <f t="shared" si="57"/>
        <v>0</v>
      </c>
      <c r="IE7" s="23"/>
      <c r="IF7" s="2"/>
      <c r="IG7" s="2"/>
      <c r="IH7" s="24">
        <f t="shared" si="58"/>
        <v>0</v>
      </c>
      <c r="II7" s="23"/>
      <c r="IJ7" s="2"/>
      <c r="IK7" s="2"/>
      <c r="IL7" s="24">
        <f t="shared" si="59"/>
        <v>0</v>
      </c>
      <c r="IM7" s="23"/>
      <c r="IN7" s="2"/>
      <c r="IO7" s="2"/>
      <c r="IP7" s="24">
        <f t="shared" si="60"/>
        <v>0</v>
      </c>
      <c r="IQ7" s="23"/>
      <c r="IR7" s="2"/>
      <c r="IS7" s="2"/>
      <c r="IT7" s="24">
        <f t="shared" si="61"/>
        <v>0</v>
      </c>
      <c r="IU7" s="23"/>
      <c r="IV7" s="8">
        <f t="shared" si="62"/>
        <v>0</v>
      </c>
      <c r="IW7" s="2"/>
      <c r="IX7" s="2"/>
      <c r="IY7" s="24">
        <f t="shared" si="63"/>
        <v>0</v>
      </c>
      <c r="IZ7" s="23"/>
      <c r="JA7" s="2"/>
      <c r="JB7" s="2"/>
      <c r="JC7" s="24">
        <f t="shared" si="64"/>
        <v>0</v>
      </c>
      <c r="JD7" s="23"/>
      <c r="JE7" s="2"/>
      <c r="JF7" s="2"/>
      <c r="JG7" s="24">
        <f t="shared" si="65"/>
        <v>0</v>
      </c>
      <c r="JH7" s="23"/>
      <c r="JI7" s="2"/>
      <c r="JJ7" s="2"/>
      <c r="JK7" s="24">
        <f t="shared" si="66"/>
        <v>0</v>
      </c>
      <c r="JL7" s="23"/>
      <c r="JM7" s="2"/>
      <c r="JN7" s="2"/>
      <c r="JO7" s="24">
        <f t="shared" si="67"/>
        <v>0</v>
      </c>
      <c r="JP7" s="23"/>
      <c r="JQ7" s="2"/>
      <c r="JR7" s="2"/>
      <c r="JS7" s="24">
        <f t="shared" si="68"/>
        <v>0</v>
      </c>
      <c r="JT7" s="23"/>
      <c r="JU7" s="8">
        <f t="shared" si="69"/>
        <v>0</v>
      </c>
      <c r="JV7" s="2"/>
      <c r="JW7" s="2"/>
      <c r="JX7" s="24">
        <f t="shared" si="70"/>
        <v>0</v>
      </c>
      <c r="JY7" s="23"/>
      <c r="JZ7" s="2"/>
      <c r="KA7" s="2"/>
      <c r="KB7" s="24">
        <f t="shared" si="71"/>
        <v>0</v>
      </c>
      <c r="KC7" s="23"/>
      <c r="KD7" s="2"/>
      <c r="KE7" s="2"/>
      <c r="KF7" s="24">
        <f t="shared" si="72"/>
        <v>0</v>
      </c>
      <c r="KG7" s="23"/>
      <c r="KH7" s="2"/>
      <c r="KI7" s="2"/>
      <c r="KJ7" s="24">
        <f t="shared" si="73"/>
        <v>0</v>
      </c>
      <c r="KK7" s="23"/>
      <c r="KL7" s="2"/>
      <c r="KM7" s="2"/>
      <c r="KN7" s="24">
        <f t="shared" si="74"/>
        <v>0</v>
      </c>
      <c r="KO7" s="23"/>
      <c r="KP7" s="2"/>
      <c r="KQ7" s="2"/>
      <c r="KR7" s="24">
        <f t="shared" si="75"/>
        <v>0</v>
      </c>
      <c r="KS7" s="23"/>
      <c r="KT7" s="8">
        <f t="shared" si="76"/>
        <v>0</v>
      </c>
      <c r="KU7" s="2"/>
      <c r="KV7" s="2"/>
      <c r="KW7" s="24">
        <f t="shared" si="77"/>
        <v>0</v>
      </c>
      <c r="KX7" s="23"/>
      <c r="KY7" s="8">
        <f t="shared" si="78"/>
        <v>0</v>
      </c>
      <c r="KZ7" s="2"/>
      <c r="LA7" s="2"/>
      <c r="LB7" s="24">
        <f t="shared" si="79"/>
        <v>0</v>
      </c>
      <c r="LC7" s="23"/>
      <c r="LD7" s="2"/>
      <c r="LE7" s="2"/>
      <c r="LF7" s="24">
        <f t="shared" si="80"/>
        <v>0</v>
      </c>
      <c r="LG7" s="23"/>
      <c r="LH7" s="2"/>
      <c r="LI7" s="2"/>
      <c r="LJ7" s="24">
        <f t="shared" si="81"/>
        <v>0</v>
      </c>
      <c r="LK7" s="23"/>
      <c r="LL7" s="8">
        <f t="shared" si="82"/>
        <v>0</v>
      </c>
      <c r="LM7" s="2"/>
      <c r="LN7" s="2"/>
      <c r="LO7" s="24">
        <f t="shared" si="83"/>
        <v>0</v>
      </c>
      <c r="LP7" s="23"/>
      <c r="LQ7" s="2"/>
      <c r="LR7" s="2"/>
      <c r="LS7" s="24">
        <f t="shared" si="84"/>
        <v>0</v>
      </c>
      <c r="LT7" s="23"/>
      <c r="LU7" s="2"/>
      <c r="LV7" s="2"/>
      <c r="LW7" s="24">
        <f t="shared" si="85"/>
        <v>0</v>
      </c>
      <c r="LX7" s="23"/>
      <c r="LY7" s="8">
        <f t="shared" si="86"/>
        <v>0</v>
      </c>
      <c r="LZ7" s="2"/>
      <c r="MA7" s="2"/>
      <c r="MB7" s="24">
        <f t="shared" si="87"/>
        <v>0</v>
      </c>
      <c r="MC7" s="23"/>
      <c r="MD7" s="2"/>
      <c r="ME7" s="2"/>
      <c r="MF7" s="24">
        <f t="shared" si="88"/>
        <v>0</v>
      </c>
      <c r="MG7" s="23"/>
      <c r="MH7" s="2"/>
      <c r="MI7" s="2"/>
      <c r="MJ7" s="24">
        <f t="shared" si="89"/>
        <v>0</v>
      </c>
      <c r="MK7" s="23"/>
      <c r="ML7" s="8">
        <f t="shared" si="90"/>
        <v>0</v>
      </c>
      <c r="MM7" s="2"/>
      <c r="MN7" s="2"/>
      <c r="MO7" s="24">
        <f t="shared" si="91"/>
        <v>0</v>
      </c>
      <c r="MP7" s="23"/>
      <c r="MQ7" s="2"/>
      <c r="MR7" s="2"/>
      <c r="MS7" s="24">
        <f t="shared" si="92"/>
        <v>0</v>
      </c>
      <c r="MT7" s="23"/>
      <c r="MU7" s="2"/>
      <c r="MV7" s="2"/>
      <c r="MW7" s="24">
        <f t="shared" si="93"/>
        <v>0</v>
      </c>
      <c r="MX7" s="23"/>
      <c r="MY7" s="8">
        <f t="shared" si="94"/>
        <v>0</v>
      </c>
      <c r="MZ7" s="2"/>
      <c r="NA7" s="2"/>
      <c r="NB7" s="24">
        <f t="shared" si="95"/>
        <v>0</v>
      </c>
      <c r="NC7" s="23"/>
      <c r="ND7" s="2"/>
      <c r="NE7" s="2"/>
      <c r="NF7" s="24">
        <f t="shared" si="96"/>
        <v>0</v>
      </c>
      <c r="NG7" s="23"/>
      <c r="NH7" s="2"/>
      <c r="NI7" s="2"/>
      <c r="NJ7" s="24">
        <f t="shared" si="97"/>
        <v>0</v>
      </c>
      <c r="NK7" s="23"/>
      <c r="NL7" s="8">
        <f t="shared" si="98"/>
        <v>0</v>
      </c>
      <c r="NM7" s="2"/>
      <c r="NN7" s="2"/>
      <c r="NO7" s="24">
        <f t="shared" si="99"/>
        <v>0</v>
      </c>
      <c r="NP7" s="23"/>
      <c r="NQ7" s="2"/>
      <c r="NR7" s="2"/>
      <c r="NS7" s="24">
        <f t="shared" si="100"/>
        <v>0</v>
      </c>
      <c r="NT7" s="23"/>
      <c r="NU7" s="8">
        <f t="shared" si="101"/>
        <v>0</v>
      </c>
      <c r="NV7" s="2"/>
      <c r="NW7" s="2"/>
      <c r="NX7" s="24">
        <f t="shared" si="102"/>
        <v>0</v>
      </c>
      <c r="NY7" s="23"/>
      <c r="NZ7" s="2"/>
      <c r="OA7" s="2"/>
      <c r="OB7" s="24">
        <f t="shared" si="103"/>
        <v>0</v>
      </c>
      <c r="OC7" s="23"/>
      <c r="OD7" s="8">
        <f t="shared" si="104"/>
        <v>0</v>
      </c>
      <c r="OE7" s="2"/>
      <c r="OF7" s="2"/>
      <c r="OG7" s="24">
        <f t="shared" si="105"/>
        <v>0</v>
      </c>
      <c r="OH7" s="23"/>
      <c r="OI7" s="2"/>
      <c r="OJ7" s="2"/>
      <c r="OK7" s="24">
        <f t="shared" si="106"/>
        <v>0</v>
      </c>
      <c r="OL7" s="23"/>
      <c r="OM7" s="8">
        <f t="shared" si="107"/>
        <v>0</v>
      </c>
      <c r="ON7" s="2"/>
      <c r="OO7" s="2"/>
      <c r="OP7" s="24">
        <f t="shared" si="108"/>
        <v>0</v>
      </c>
      <c r="OQ7" s="23"/>
      <c r="OR7" s="2"/>
      <c r="OS7" s="2"/>
      <c r="OT7" s="24">
        <f t="shared" si="109"/>
        <v>0</v>
      </c>
      <c r="OU7" s="23"/>
      <c r="OV7" s="8">
        <f t="shared" si="110"/>
        <v>0</v>
      </c>
      <c r="OW7" s="2"/>
      <c r="OX7" s="2"/>
      <c r="OY7" s="24">
        <f t="shared" si="111"/>
        <v>0</v>
      </c>
      <c r="OZ7" s="23"/>
      <c r="PA7" s="8">
        <f t="shared" si="112"/>
        <v>0</v>
      </c>
      <c r="PB7" s="2"/>
      <c r="PC7" s="2"/>
      <c r="PD7" s="24">
        <f t="shared" si="113"/>
        <v>0</v>
      </c>
      <c r="PE7" s="23"/>
      <c r="PF7" s="8">
        <f t="shared" si="114"/>
        <v>0</v>
      </c>
      <c r="PG7" s="2"/>
      <c r="PH7" s="2"/>
      <c r="PI7" s="24">
        <f t="shared" si="115"/>
        <v>0</v>
      </c>
      <c r="PJ7" s="23"/>
      <c r="PK7" s="2"/>
      <c r="PL7" s="2"/>
      <c r="PM7" s="24">
        <f t="shared" si="116"/>
        <v>0</v>
      </c>
      <c r="PN7" s="23"/>
      <c r="PO7" s="8">
        <f t="shared" si="117"/>
        <v>0</v>
      </c>
      <c r="PP7" s="2"/>
      <c r="PQ7" s="2"/>
      <c r="PR7" s="24">
        <f t="shared" si="118"/>
        <v>0</v>
      </c>
      <c r="PS7" s="23"/>
      <c r="PT7" s="8">
        <f t="shared" si="119"/>
        <v>0</v>
      </c>
      <c r="PU7" s="2"/>
      <c r="PV7" s="2"/>
      <c r="PW7" s="24">
        <f t="shared" si="120"/>
        <v>0</v>
      </c>
      <c r="PX7" s="23"/>
      <c r="PY7" s="8">
        <f t="shared" si="121"/>
        <v>0</v>
      </c>
      <c r="PZ7" s="2"/>
      <c r="QA7" s="2"/>
      <c r="QB7" s="24">
        <f t="shared" si="122"/>
        <v>0</v>
      </c>
      <c r="QC7" s="23"/>
      <c r="QD7" s="8">
        <f t="shared" si="123"/>
        <v>0</v>
      </c>
      <c r="QE7" s="2"/>
      <c r="QF7" s="2"/>
      <c r="QG7" s="24">
        <f t="shared" si="124"/>
        <v>0</v>
      </c>
      <c r="QH7" s="23"/>
      <c r="QI7" s="8">
        <f t="shared" si="125"/>
        <v>0</v>
      </c>
    </row>
    <row r="8" spans="1:451" ht="14.25" customHeight="1" x14ac:dyDescent="0.3">
      <c r="A8" s="5" t="s">
        <v>119</v>
      </c>
      <c r="B8" s="2">
        <v>2</v>
      </c>
      <c r="C8" s="2">
        <v>0</v>
      </c>
      <c r="D8" s="24">
        <f t="shared" si="0"/>
        <v>5</v>
      </c>
      <c r="E8" s="23"/>
      <c r="F8" s="2">
        <v>2</v>
      </c>
      <c r="G8" s="2">
        <v>1</v>
      </c>
      <c r="H8" s="24">
        <f t="shared" si="1"/>
        <v>5</v>
      </c>
      <c r="I8" s="23"/>
      <c r="J8" s="8">
        <f t="shared" si="2"/>
        <v>10</v>
      </c>
      <c r="K8" s="2">
        <v>2</v>
      </c>
      <c r="L8" s="2">
        <v>1</v>
      </c>
      <c r="M8" s="24">
        <f t="shared" si="3"/>
        <v>1</v>
      </c>
      <c r="N8" s="23"/>
      <c r="O8" s="2">
        <v>1</v>
      </c>
      <c r="P8" s="2">
        <v>2</v>
      </c>
      <c r="Q8" s="24">
        <f t="shared" si="4"/>
        <v>0</v>
      </c>
      <c r="R8" s="23"/>
      <c r="S8" s="8">
        <f t="shared" si="5"/>
        <v>1</v>
      </c>
      <c r="T8" s="2">
        <v>0</v>
      </c>
      <c r="U8" s="2">
        <v>2</v>
      </c>
      <c r="V8" s="24">
        <f t="shared" si="6"/>
        <v>0</v>
      </c>
      <c r="W8" s="23"/>
      <c r="X8" s="2">
        <v>3</v>
      </c>
      <c r="Y8" s="2">
        <v>1</v>
      </c>
      <c r="Z8" s="24">
        <f t="shared" si="7"/>
        <v>1</v>
      </c>
      <c r="AA8" s="23"/>
      <c r="AB8" s="2">
        <v>0</v>
      </c>
      <c r="AC8" s="2">
        <v>2</v>
      </c>
      <c r="AD8" s="24">
        <f t="shared" si="8"/>
        <v>4</v>
      </c>
      <c r="AE8" s="23"/>
      <c r="AF8" s="2">
        <v>1</v>
      </c>
      <c r="AG8" s="2">
        <v>3</v>
      </c>
      <c r="AH8" s="24">
        <f t="shared" si="9"/>
        <v>0</v>
      </c>
      <c r="AI8" s="23"/>
      <c r="AJ8" s="8">
        <f t="shared" si="10"/>
        <v>5</v>
      </c>
      <c r="AK8" s="2">
        <v>4</v>
      </c>
      <c r="AL8" s="2">
        <v>0</v>
      </c>
      <c r="AM8" s="24">
        <f t="shared" si="11"/>
        <v>3</v>
      </c>
      <c r="AN8" s="23"/>
      <c r="AO8" s="2">
        <v>2</v>
      </c>
      <c r="AP8" s="2">
        <v>1</v>
      </c>
      <c r="AQ8" s="24">
        <f t="shared" si="12"/>
        <v>1</v>
      </c>
      <c r="AR8" s="23"/>
      <c r="AS8" s="2">
        <v>1</v>
      </c>
      <c r="AT8" s="2">
        <v>2</v>
      </c>
      <c r="AU8" s="24">
        <f t="shared" si="13"/>
        <v>1</v>
      </c>
      <c r="AV8" s="23"/>
      <c r="AW8" s="2">
        <v>2</v>
      </c>
      <c r="AX8" s="2">
        <v>0</v>
      </c>
      <c r="AY8" s="24">
        <f t="shared" si="14"/>
        <v>3</v>
      </c>
      <c r="AZ8" s="23"/>
      <c r="BA8" s="8">
        <f t="shared" si="15"/>
        <v>8</v>
      </c>
      <c r="BB8" s="2">
        <v>6</v>
      </c>
      <c r="BC8" s="2">
        <v>0</v>
      </c>
      <c r="BD8" s="24">
        <f t="shared" si="16"/>
        <v>1</v>
      </c>
      <c r="BE8" s="23"/>
      <c r="BF8" s="2">
        <v>3</v>
      </c>
      <c r="BG8" s="2">
        <v>1</v>
      </c>
      <c r="BH8" s="24">
        <f t="shared" si="17"/>
        <v>1</v>
      </c>
      <c r="BI8" s="23"/>
      <c r="BJ8" s="2">
        <v>0</v>
      </c>
      <c r="BK8" s="2">
        <v>3</v>
      </c>
      <c r="BL8" s="24">
        <f t="shared" si="18"/>
        <v>0</v>
      </c>
      <c r="BM8" s="23"/>
      <c r="BN8" s="2">
        <v>2</v>
      </c>
      <c r="BO8" s="2">
        <v>1</v>
      </c>
      <c r="BP8" s="24">
        <f t="shared" si="19"/>
        <v>1</v>
      </c>
      <c r="BQ8" s="23"/>
      <c r="BR8" s="8">
        <f t="shared" si="20"/>
        <v>3</v>
      </c>
      <c r="BS8" s="2">
        <v>3</v>
      </c>
      <c r="BT8" s="2">
        <v>1</v>
      </c>
      <c r="BU8" s="24">
        <f t="shared" si="21"/>
        <v>5</v>
      </c>
      <c r="BV8" s="23"/>
      <c r="BW8" s="2">
        <v>0</v>
      </c>
      <c r="BX8" s="2">
        <v>3</v>
      </c>
      <c r="BY8" s="24">
        <f t="shared" si="22"/>
        <v>3</v>
      </c>
      <c r="BZ8" s="23"/>
      <c r="CA8" s="2">
        <v>2</v>
      </c>
      <c r="CB8" s="2">
        <v>0</v>
      </c>
      <c r="CC8" s="24">
        <f t="shared" si="23"/>
        <v>4</v>
      </c>
      <c r="CD8" s="23"/>
      <c r="CE8" s="2">
        <v>2</v>
      </c>
      <c r="CF8" s="2">
        <v>1</v>
      </c>
      <c r="CG8" s="24">
        <f t="shared" si="24"/>
        <v>4</v>
      </c>
      <c r="CH8" s="23"/>
      <c r="CI8" s="8">
        <f t="shared" si="25"/>
        <v>16</v>
      </c>
      <c r="CJ8" s="2">
        <v>3</v>
      </c>
      <c r="CK8" s="2">
        <v>0</v>
      </c>
      <c r="CL8" s="24">
        <f t="shared" si="26"/>
        <v>0</v>
      </c>
      <c r="CM8" s="23"/>
      <c r="CN8" s="2">
        <v>3</v>
      </c>
      <c r="CO8" s="2">
        <v>1</v>
      </c>
      <c r="CP8" s="24">
        <f t="shared" si="27"/>
        <v>3</v>
      </c>
      <c r="CQ8" s="23"/>
      <c r="CR8" s="2">
        <v>2</v>
      </c>
      <c r="CS8" s="2">
        <v>1</v>
      </c>
      <c r="CT8" s="24">
        <f t="shared" si="28"/>
        <v>3</v>
      </c>
      <c r="CU8" s="23"/>
      <c r="CV8" s="2">
        <v>0</v>
      </c>
      <c r="CW8" s="2">
        <v>3</v>
      </c>
      <c r="CX8" s="24">
        <f t="shared" si="29"/>
        <v>4</v>
      </c>
      <c r="CY8" s="23"/>
      <c r="CZ8" s="8">
        <f t="shared" si="30"/>
        <v>10</v>
      </c>
      <c r="DA8" s="2">
        <v>2</v>
      </c>
      <c r="DB8" s="2">
        <v>1</v>
      </c>
      <c r="DC8" s="24">
        <f t="shared" si="126"/>
        <v>1</v>
      </c>
      <c r="DD8" s="23"/>
      <c r="DE8" s="2">
        <v>2</v>
      </c>
      <c r="DF8" s="2">
        <v>1</v>
      </c>
      <c r="DG8" s="24">
        <f t="shared" si="127"/>
        <v>4</v>
      </c>
      <c r="DH8" s="23"/>
      <c r="DI8" s="2">
        <v>2</v>
      </c>
      <c r="DJ8" s="2">
        <v>1</v>
      </c>
      <c r="DK8" s="24">
        <f t="shared" si="128"/>
        <v>3</v>
      </c>
      <c r="DL8" s="23"/>
      <c r="DM8" s="2">
        <v>1</v>
      </c>
      <c r="DN8" s="2">
        <v>2</v>
      </c>
      <c r="DO8" s="24">
        <f t="shared" si="129"/>
        <v>1</v>
      </c>
      <c r="DP8" s="23"/>
      <c r="DQ8" s="8">
        <f t="shared" si="31"/>
        <v>9</v>
      </c>
      <c r="DR8" s="2">
        <v>3</v>
      </c>
      <c r="DS8" s="2">
        <v>1</v>
      </c>
      <c r="DT8" s="24">
        <f t="shared" si="130"/>
        <v>3</v>
      </c>
      <c r="DU8" s="23"/>
      <c r="DV8" s="2">
        <v>1</v>
      </c>
      <c r="DW8" s="2">
        <v>3</v>
      </c>
      <c r="DX8" s="24">
        <f t="shared" si="131"/>
        <v>3</v>
      </c>
      <c r="DY8" s="23"/>
      <c r="DZ8" s="2">
        <v>5</v>
      </c>
      <c r="EA8" s="2">
        <v>0</v>
      </c>
      <c r="EB8" s="24">
        <f t="shared" si="132"/>
        <v>4</v>
      </c>
      <c r="EC8" s="23"/>
      <c r="ED8" s="2">
        <v>2</v>
      </c>
      <c r="EE8" s="2">
        <v>1</v>
      </c>
      <c r="EF8" s="24">
        <f t="shared" si="133"/>
        <v>1</v>
      </c>
      <c r="EG8" s="23"/>
      <c r="EH8" s="8">
        <f t="shared" si="32"/>
        <v>11</v>
      </c>
      <c r="EI8" s="2">
        <v>3</v>
      </c>
      <c r="EJ8" s="2">
        <v>1</v>
      </c>
      <c r="EK8" s="24">
        <f t="shared" si="33"/>
        <v>4</v>
      </c>
      <c r="EL8" s="23"/>
      <c r="EM8" s="2">
        <v>4</v>
      </c>
      <c r="EN8" s="2">
        <v>0</v>
      </c>
      <c r="EO8" s="24">
        <f t="shared" si="34"/>
        <v>3</v>
      </c>
      <c r="EP8" s="23"/>
      <c r="EQ8" s="2">
        <v>4</v>
      </c>
      <c r="ER8" s="2">
        <v>0</v>
      </c>
      <c r="ES8" s="24">
        <f t="shared" si="35"/>
        <v>1</v>
      </c>
      <c r="ET8" s="23"/>
      <c r="EU8" s="2">
        <v>0</v>
      </c>
      <c r="EV8" s="2">
        <v>3</v>
      </c>
      <c r="EW8" s="24">
        <f t="shared" si="36"/>
        <v>4</v>
      </c>
      <c r="EX8" s="23"/>
      <c r="EY8" s="8">
        <f t="shared" si="37"/>
        <v>12</v>
      </c>
      <c r="EZ8" s="2">
        <v>3</v>
      </c>
      <c r="FA8" s="2">
        <v>1</v>
      </c>
      <c r="FB8" s="24"/>
      <c r="FC8" s="23"/>
      <c r="FD8" s="2">
        <v>3</v>
      </c>
      <c r="FE8" s="2">
        <v>1</v>
      </c>
      <c r="FF8" s="24"/>
      <c r="FG8" s="23"/>
      <c r="FH8" s="2">
        <v>2</v>
      </c>
      <c r="FI8" s="2">
        <v>1</v>
      </c>
      <c r="FJ8" s="24"/>
      <c r="FK8" s="23"/>
      <c r="FL8" s="2">
        <v>0</v>
      </c>
      <c r="FM8" s="2">
        <v>2</v>
      </c>
      <c r="FN8" s="24"/>
      <c r="FO8" s="23"/>
      <c r="FP8" s="8">
        <f t="shared" si="38"/>
        <v>0</v>
      </c>
      <c r="FQ8" s="2"/>
      <c r="FR8" s="2"/>
      <c r="FS8" s="24">
        <f t="shared" si="39"/>
        <v>0</v>
      </c>
      <c r="FT8" s="23"/>
      <c r="FU8" s="2"/>
      <c r="FV8" s="2"/>
      <c r="FW8" s="24">
        <f t="shared" si="40"/>
        <v>0</v>
      </c>
      <c r="FX8" s="23"/>
      <c r="FY8" s="2"/>
      <c r="FZ8" s="2"/>
      <c r="GA8" s="24">
        <f t="shared" si="41"/>
        <v>0</v>
      </c>
      <c r="GB8" s="23"/>
      <c r="GC8" s="2"/>
      <c r="GD8" s="2"/>
      <c r="GE8" s="24">
        <f t="shared" si="42"/>
        <v>0</v>
      </c>
      <c r="GF8" s="23"/>
      <c r="GG8" s="8">
        <f t="shared" si="43"/>
        <v>0</v>
      </c>
      <c r="GH8" s="2"/>
      <c r="GI8" s="2"/>
      <c r="GJ8" s="24">
        <f t="shared" si="44"/>
        <v>0</v>
      </c>
      <c r="GK8" s="23"/>
      <c r="GL8" s="2"/>
      <c r="GM8" s="2"/>
      <c r="GN8" s="24">
        <f t="shared" si="45"/>
        <v>0</v>
      </c>
      <c r="GO8" s="23"/>
      <c r="GP8" s="2"/>
      <c r="GQ8" s="2"/>
      <c r="GR8" s="24">
        <f t="shared" si="46"/>
        <v>0</v>
      </c>
      <c r="GS8" s="23"/>
      <c r="GT8" s="2"/>
      <c r="GU8" s="2"/>
      <c r="GV8" s="24">
        <f t="shared" si="47"/>
        <v>0</v>
      </c>
      <c r="GW8" s="23"/>
      <c r="GX8" s="8">
        <f t="shared" si="48"/>
        <v>0</v>
      </c>
      <c r="GY8" s="2"/>
      <c r="GZ8" s="2"/>
      <c r="HA8" s="24">
        <f t="shared" si="49"/>
        <v>0</v>
      </c>
      <c r="HB8" s="23"/>
      <c r="HC8" s="2"/>
      <c r="HD8" s="2"/>
      <c r="HE8" s="24">
        <f t="shared" si="50"/>
        <v>0</v>
      </c>
      <c r="HF8" s="23"/>
      <c r="HG8" s="2"/>
      <c r="HH8" s="2"/>
      <c r="HI8" s="24">
        <f t="shared" si="51"/>
        <v>0</v>
      </c>
      <c r="HJ8" s="23"/>
      <c r="HK8" s="2"/>
      <c r="HL8" s="2"/>
      <c r="HM8" s="24">
        <f t="shared" si="52"/>
        <v>0</v>
      </c>
      <c r="HN8" s="23"/>
      <c r="HO8" s="2"/>
      <c r="HP8" s="2"/>
      <c r="HQ8" s="24">
        <f t="shared" si="53"/>
        <v>0</v>
      </c>
      <c r="HR8" s="23"/>
      <c r="HS8" s="2"/>
      <c r="HT8" s="2"/>
      <c r="HU8" s="24">
        <f t="shared" si="54"/>
        <v>0</v>
      </c>
      <c r="HV8" s="23"/>
      <c r="HW8" s="8">
        <f t="shared" si="55"/>
        <v>0</v>
      </c>
      <c r="HX8" s="2"/>
      <c r="HY8" s="2"/>
      <c r="HZ8" s="24">
        <f t="shared" si="56"/>
        <v>0</v>
      </c>
      <c r="IA8" s="23"/>
      <c r="IB8" s="2"/>
      <c r="IC8" s="2"/>
      <c r="ID8" s="24">
        <f t="shared" si="57"/>
        <v>0</v>
      </c>
      <c r="IE8" s="23"/>
      <c r="IF8" s="2"/>
      <c r="IG8" s="2"/>
      <c r="IH8" s="24">
        <f t="shared" si="58"/>
        <v>0</v>
      </c>
      <c r="II8" s="23"/>
      <c r="IJ8" s="2"/>
      <c r="IK8" s="2"/>
      <c r="IL8" s="24">
        <f t="shared" si="59"/>
        <v>0</v>
      </c>
      <c r="IM8" s="23"/>
      <c r="IN8" s="2"/>
      <c r="IO8" s="2"/>
      <c r="IP8" s="24">
        <f t="shared" si="60"/>
        <v>0</v>
      </c>
      <c r="IQ8" s="23"/>
      <c r="IR8" s="2"/>
      <c r="IS8" s="2"/>
      <c r="IT8" s="24">
        <f t="shared" si="61"/>
        <v>0</v>
      </c>
      <c r="IU8" s="23"/>
      <c r="IV8" s="8">
        <f t="shared" si="62"/>
        <v>0</v>
      </c>
      <c r="IW8" s="2"/>
      <c r="IX8" s="2"/>
      <c r="IY8" s="24">
        <f t="shared" si="63"/>
        <v>0</v>
      </c>
      <c r="IZ8" s="23"/>
      <c r="JA8" s="2"/>
      <c r="JB8" s="2"/>
      <c r="JC8" s="24">
        <f t="shared" si="64"/>
        <v>0</v>
      </c>
      <c r="JD8" s="23"/>
      <c r="JE8" s="2"/>
      <c r="JF8" s="2"/>
      <c r="JG8" s="24">
        <f t="shared" si="65"/>
        <v>0</v>
      </c>
      <c r="JH8" s="23"/>
      <c r="JI8" s="2"/>
      <c r="JJ8" s="2"/>
      <c r="JK8" s="24">
        <f t="shared" si="66"/>
        <v>0</v>
      </c>
      <c r="JL8" s="23"/>
      <c r="JM8" s="2"/>
      <c r="JN8" s="2"/>
      <c r="JO8" s="24">
        <f t="shared" si="67"/>
        <v>0</v>
      </c>
      <c r="JP8" s="23"/>
      <c r="JQ8" s="2"/>
      <c r="JR8" s="2"/>
      <c r="JS8" s="24">
        <f t="shared" si="68"/>
        <v>0</v>
      </c>
      <c r="JT8" s="23"/>
      <c r="JU8" s="8">
        <f t="shared" si="69"/>
        <v>0</v>
      </c>
      <c r="JV8" s="2"/>
      <c r="JW8" s="2"/>
      <c r="JX8" s="24">
        <f t="shared" si="70"/>
        <v>0</v>
      </c>
      <c r="JY8" s="23"/>
      <c r="JZ8" s="2"/>
      <c r="KA8" s="2"/>
      <c r="KB8" s="24">
        <f t="shared" si="71"/>
        <v>0</v>
      </c>
      <c r="KC8" s="23"/>
      <c r="KD8" s="2"/>
      <c r="KE8" s="2"/>
      <c r="KF8" s="24">
        <f t="shared" si="72"/>
        <v>0</v>
      </c>
      <c r="KG8" s="23"/>
      <c r="KH8" s="2"/>
      <c r="KI8" s="2"/>
      <c r="KJ8" s="24">
        <f t="shared" si="73"/>
        <v>0</v>
      </c>
      <c r="KK8" s="23"/>
      <c r="KL8" s="2"/>
      <c r="KM8" s="2"/>
      <c r="KN8" s="24">
        <f t="shared" si="74"/>
        <v>0</v>
      </c>
      <c r="KO8" s="23"/>
      <c r="KP8" s="2"/>
      <c r="KQ8" s="2"/>
      <c r="KR8" s="24">
        <f t="shared" si="75"/>
        <v>0</v>
      </c>
      <c r="KS8" s="23"/>
      <c r="KT8" s="8">
        <f t="shared" si="76"/>
        <v>0</v>
      </c>
      <c r="KU8" s="2"/>
      <c r="KV8" s="2"/>
      <c r="KW8" s="24">
        <f t="shared" si="77"/>
        <v>0</v>
      </c>
      <c r="KX8" s="23"/>
      <c r="KY8" s="8">
        <f t="shared" si="78"/>
        <v>0</v>
      </c>
      <c r="KZ8" s="2"/>
      <c r="LA8" s="2"/>
      <c r="LB8" s="24">
        <f t="shared" si="79"/>
        <v>0</v>
      </c>
      <c r="LC8" s="23"/>
      <c r="LD8" s="2"/>
      <c r="LE8" s="2"/>
      <c r="LF8" s="24">
        <f t="shared" si="80"/>
        <v>0</v>
      </c>
      <c r="LG8" s="23"/>
      <c r="LH8" s="2"/>
      <c r="LI8" s="2"/>
      <c r="LJ8" s="24">
        <f t="shared" si="81"/>
        <v>0</v>
      </c>
      <c r="LK8" s="23"/>
      <c r="LL8" s="8">
        <f t="shared" si="82"/>
        <v>0</v>
      </c>
      <c r="LM8" s="2"/>
      <c r="LN8" s="2"/>
      <c r="LO8" s="24">
        <f t="shared" si="83"/>
        <v>0</v>
      </c>
      <c r="LP8" s="23"/>
      <c r="LQ8" s="2"/>
      <c r="LR8" s="2"/>
      <c r="LS8" s="24">
        <f t="shared" si="84"/>
        <v>0</v>
      </c>
      <c r="LT8" s="23"/>
      <c r="LU8" s="2"/>
      <c r="LV8" s="2"/>
      <c r="LW8" s="24">
        <f t="shared" si="85"/>
        <v>0</v>
      </c>
      <c r="LX8" s="23"/>
      <c r="LY8" s="8">
        <f t="shared" si="86"/>
        <v>0</v>
      </c>
      <c r="LZ8" s="2"/>
      <c r="MA8" s="2"/>
      <c r="MB8" s="24">
        <f t="shared" si="87"/>
        <v>0</v>
      </c>
      <c r="MC8" s="23"/>
      <c r="MD8" s="2"/>
      <c r="ME8" s="2"/>
      <c r="MF8" s="24">
        <f t="shared" si="88"/>
        <v>0</v>
      </c>
      <c r="MG8" s="23"/>
      <c r="MH8" s="2"/>
      <c r="MI8" s="2"/>
      <c r="MJ8" s="24">
        <f t="shared" si="89"/>
        <v>0</v>
      </c>
      <c r="MK8" s="23"/>
      <c r="ML8" s="8">
        <f t="shared" si="90"/>
        <v>0</v>
      </c>
      <c r="MM8" s="2"/>
      <c r="MN8" s="2"/>
      <c r="MO8" s="24">
        <f t="shared" si="91"/>
        <v>0</v>
      </c>
      <c r="MP8" s="23"/>
      <c r="MQ8" s="2"/>
      <c r="MR8" s="2"/>
      <c r="MS8" s="24">
        <f t="shared" si="92"/>
        <v>0</v>
      </c>
      <c r="MT8" s="23"/>
      <c r="MU8" s="2"/>
      <c r="MV8" s="2"/>
      <c r="MW8" s="24">
        <f t="shared" si="93"/>
        <v>0</v>
      </c>
      <c r="MX8" s="23"/>
      <c r="MY8" s="8">
        <f t="shared" si="94"/>
        <v>0</v>
      </c>
      <c r="MZ8" s="2"/>
      <c r="NA8" s="2"/>
      <c r="NB8" s="24">
        <f t="shared" si="95"/>
        <v>0</v>
      </c>
      <c r="NC8" s="23"/>
      <c r="ND8" s="2"/>
      <c r="NE8" s="2"/>
      <c r="NF8" s="24">
        <f t="shared" si="96"/>
        <v>0</v>
      </c>
      <c r="NG8" s="23"/>
      <c r="NH8" s="2"/>
      <c r="NI8" s="2"/>
      <c r="NJ8" s="24">
        <f t="shared" si="97"/>
        <v>0</v>
      </c>
      <c r="NK8" s="23"/>
      <c r="NL8" s="8">
        <f t="shared" si="98"/>
        <v>0</v>
      </c>
      <c r="NM8" s="2"/>
      <c r="NN8" s="2"/>
      <c r="NO8" s="24">
        <f t="shared" si="99"/>
        <v>0</v>
      </c>
      <c r="NP8" s="23"/>
      <c r="NQ8" s="2"/>
      <c r="NR8" s="2"/>
      <c r="NS8" s="24">
        <f t="shared" si="100"/>
        <v>0</v>
      </c>
      <c r="NT8" s="23"/>
      <c r="NU8" s="8">
        <f t="shared" si="101"/>
        <v>0</v>
      </c>
      <c r="NV8" s="2"/>
      <c r="NW8" s="2"/>
      <c r="NX8" s="24">
        <f t="shared" si="102"/>
        <v>0</v>
      </c>
      <c r="NY8" s="23"/>
      <c r="NZ8" s="2"/>
      <c r="OA8" s="2"/>
      <c r="OB8" s="24">
        <f t="shared" si="103"/>
        <v>0</v>
      </c>
      <c r="OC8" s="23"/>
      <c r="OD8" s="8">
        <f t="shared" si="104"/>
        <v>0</v>
      </c>
      <c r="OE8" s="2"/>
      <c r="OF8" s="2"/>
      <c r="OG8" s="24">
        <f t="shared" si="105"/>
        <v>0</v>
      </c>
      <c r="OH8" s="23"/>
      <c r="OI8" s="2"/>
      <c r="OJ8" s="2"/>
      <c r="OK8" s="24">
        <f t="shared" si="106"/>
        <v>0</v>
      </c>
      <c r="OL8" s="23"/>
      <c r="OM8" s="8">
        <f t="shared" si="107"/>
        <v>0</v>
      </c>
      <c r="ON8" s="2"/>
      <c r="OO8" s="2"/>
      <c r="OP8" s="24">
        <f t="shared" si="108"/>
        <v>0</v>
      </c>
      <c r="OQ8" s="23"/>
      <c r="OR8" s="2"/>
      <c r="OS8" s="2"/>
      <c r="OT8" s="24">
        <f t="shared" si="109"/>
        <v>0</v>
      </c>
      <c r="OU8" s="23"/>
      <c r="OV8" s="8">
        <f t="shared" si="110"/>
        <v>0</v>
      </c>
      <c r="OW8" s="2"/>
      <c r="OX8" s="2"/>
      <c r="OY8" s="24">
        <f t="shared" si="111"/>
        <v>0</v>
      </c>
      <c r="OZ8" s="23"/>
      <c r="PA8" s="8">
        <f t="shared" si="112"/>
        <v>0</v>
      </c>
      <c r="PB8" s="2"/>
      <c r="PC8" s="2"/>
      <c r="PD8" s="24">
        <f t="shared" si="113"/>
        <v>0</v>
      </c>
      <c r="PE8" s="23"/>
      <c r="PF8" s="8">
        <f t="shared" si="114"/>
        <v>0</v>
      </c>
      <c r="PG8" s="2"/>
      <c r="PH8" s="2"/>
      <c r="PI8" s="24">
        <f t="shared" si="115"/>
        <v>0</v>
      </c>
      <c r="PJ8" s="23"/>
      <c r="PK8" s="2"/>
      <c r="PL8" s="2"/>
      <c r="PM8" s="24">
        <f t="shared" si="116"/>
        <v>0</v>
      </c>
      <c r="PN8" s="23"/>
      <c r="PO8" s="8">
        <f t="shared" si="117"/>
        <v>0</v>
      </c>
      <c r="PP8" s="2"/>
      <c r="PQ8" s="2"/>
      <c r="PR8" s="24">
        <f t="shared" si="118"/>
        <v>0</v>
      </c>
      <c r="PS8" s="23"/>
      <c r="PT8" s="8">
        <f t="shared" si="119"/>
        <v>0</v>
      </c>
      <c r="PU8" s="2"/>
      <c r="PV8" s="2"/>
      <c r="PW8" s="24">
        <f t="shared" si="120"/>
        <v>0</v>
      </c>
      <c r="PX8" s="23"/>
      <c r="PY8" s="8">
        <f t="shared" si="121"/>
        <v>0</v>
      </c>
      <c r="PZ8" s="2"/>
      <c r="QA8" s="2"/>
      <c r="QB8" s="24">
        <f t="shared" si="122"/>
        <v>0</v>
      </c>
      <c r="QC8" s="23"/>
      <c r="QD8" s="8">
        <f t="shared" si="123"/>
        <v>0</v>
      </c>
      <c r="QE8" s="2"/>
      <c r="QF8" s="2"/>
      <c r="QG8" s="24">
        <f t="shared" si="124"/>
        <v>0</v>
      </c>
      <c r="QH8" s="23"/>
      <c r="QI8" s="8">
        <f t="shared" si="125"/>
        <v>0</v>
      </c>
    </row>
    <row r="9" spans="1:451" ht="14.25" customHeight="1" x14ac:dyDescent="0.3">
      <c r="A9" s="5" t="s">
        <v>8</v>
      </c>
      <c r="B9" s="2">
        <v>2</v>
      </c>
      <c r="C9" s="2">
        <v>1</v>
      </c>
      <c r="D9" s="24">
        <f t="shared" si="0"/>
        <v>4</v>
      </c>
      <c r="E9" s="23"/>
      <c r="F9" s="2">
        <v>2</v>
      </c>
      <c r="G9" s="2">
        <v>1</v>
      </c>
      <c r="H9" s="24">
        <f t="shared" si="1"/>
        <v>5</v>
      </c>
      <c r="I9" s="23"/>
      <c r="J9" s="8">
        <f t="shared" si="2"/>
        <v>9</v>
      </c>
      <c r="K9" s="2">
        <v>2</v>
      </c>
      <c r="L9" s="2">
        <v>0</v>
      </c>
      <c r="M9" s="24">
        <f t="shared" si="3"/>
        <v>0</v>
      </c>
      <c r="N9" s="23"/>
      <c r="O9" s="2">
        <v>2</v>
      </c>
      <c r="P9" s="2">
        <v>1</v>
      </c>
      <c r="Q9" s="24">
        <f t="shared" si="4"/>
        <v>4</v>
      </c>
      <c r="R9" s="23"/>
      <c r="S9" s="8">
        <f t="shared" si="5"/>
        <v>4</v>
      </c>
      <c r="T9" s="2">
        <v>0</v>
      </c>
      <c r="U9" s="2">
        <v>1</v>
      </c>
      <c r="V9" s="24">
        <f t="shared" si="6"/>
        <v>1</v>
      </c>
      <c r="W9" s="23"/>
      <c r="X9" s="2">
        <v>2</v>
      </c>
      <c r="Y9" s="2">
        <v>1</v>
      </c>
      <c r="Z9" s="24">
        <f t="shared" si="7"/>
        <v>1</v>
      </c>
      <c r="AA9" s="23"/>
      <c r="AB9" s="2">
        <v>1</v>
      </c>
      <c r="AC9" s="2">
        <v>2</v>
      </c>
      <c r="AD9" s="24">
        <f t="shared" si="8"/>
        <v>3</v>
      </c>
      <c r="AE9" s="23"/>
      <c r="AF9" s="2">
        <v>1</v>
      </c>
      <c r="AG9" s="2">
        <v>2</v>
      </c>
      <c r="AH9" s="24">
        <f t="shared" si="9"/>
        <v>0</v>
      </c>
      <c r="AI9" s="23"/>
      <c r="AJ9" s="8">
        <f t="shared" si="10"/>
        <v>5</v>
      </c>
      <c r="AK9" s="2">
        <v>3</v>
      </c>
      <c r="AL9" s="2">
        <v>0</v>
      </c>
      <c r="AM9" s="24">
        <f t="shared" si="11"/>
        <v>3</v>
      </c>
      <c r="AN9" s="23"/>
      <c r="AO9" s="2">
        <v>2</v>
      </c>
      <c r="AP9" s="2">
        <v>1</v>
      </c>
      <c r="AQ9" s="24">
        <f t="shared" si="12"/>
        <v>1</v>
      </c>
      <c r="AR9" s="23"/>
      <c r="AS9" s="2">
        <v>1</v>
      </c>
      <c r="AT9" s="2">
        <v>1</v>
      </c>
      <c r="AU9" s="24">
        <f t="shared" si="13"/>
        <v>1</v>
      </c>
      <c r="AV9" s="23"/>
      <c r="AW9" s="2">
        <v>2</v>
      </c>
      <c r="AX9" s="2">
        <v>0</v>
      </c>
      <c r="AY9" s="24">
        <f t="shared" si="14"/>
        <v>3</v>
      </c>
      <c r="AZ9" s="23"/>
      <c r="BA9" s="8">
        <f t="shared" si="15"/>
        <v>8</v>
      </c>
      <c r="BB9" s="2">
        <v>3</v>
      </c>
      <c r="BC9" s="2">
        <v>1</v>
      </c>
      <c r="BD9" s="24">
        <f t="shared" si="16"/>
        <v>0</v>
      </c>
      <c r="BE9" s="23"/>
      <c r="BF9" s="2">
        <v>2</v>
      </c>
      <c r="BG9" s="2">
        <v>1</v>
      </c>
      <c r="BH9" s="24">
        <f t="shared" si="17"/>
        <v>1</v>
      </c>
      <c r="BI9" s="23"/>
      <c r="BJ9" s="2">
        <v>0</v>
      </c>
      <c r="BK9" s="2">
        <v>1</v>
      </c>
      <c r="BL9" s="24">
        <f t="shared" si="18"/>
        <v>1</v>
      </c>
      <c r="BM9" s="23"/>
      <c r="BN9" s="2">
        <v>1</v>
      </c>
      <c r="BO9" s="2">
        <v>0</v>
      </c>
      <c r="BP9" s="24">
        <f t="shared" si="19"/>
        <v>0</v>
      </c>
      <c r="BQ9" s="23"/>
      <c r="BR9" s="8">
        <f t="shared" si="20"/>
        <v>2</v>
      </c>
      <c r="BS9" s="2">
        <v>2</v>
      </c>
      <c r="BT9" s="2">
        <v>1</v>
      </c>
      <c r="BU9" s="24">
        <f t="shared" si="21"/>
        <v>4</v>
      </c>
      <c r="BV9" s="23"/>
      <c r="BW9" s="2">
        <v>1</v>
      </c>
      <c r="BX9" s="2">
        <v>2</v>
      </c>
      <c r="BY9" s="24">
        <f t="shared" si="22"/>
        <v>4</v>
      </c>
      <c r="BZ9" s="23"/>
      <c r="CA9" s="2">
        <v>3</v>
      </c>
      <c r="CB9" s="2">
        <v>1</v>
      </c>
      <c r="CC9" s="24">
        <f t="shared" si="23"/>
        <v>4</v>
      </c>
      <c r="CD9" s="23"/>
      <c r="CE9" s="2">
        <v>2</v>
      </c>
      <c r="CF9" s="2">
        <v>0</v>
      </c>
      <c r="CG9" s="24">
        <f t="shared" si="24"/>
        <v>3</v>
      </c>
      <c r="CH9" s="23"/>
      <c r="CI9" s="8">
        <f t="shared" si="25"/>
        <v>15</v>
      </c>
      <c r="CJ9" s="2">
        <v>2</v>
      </c>
      <c r="CK9" s="2">
        <v>0</v>
      </c>
      <c r="CL9" s="24">
        <f t="shared" si="26"/>
        <v>0</v>
      </c>
      <c r="CM9" s="23"/>
      <c r="CN9" s="2">
        <v>2</v>
      </c>
      <c r="CO9" s="2">
        <v>1</v>
      </c>
      <c r="CP9" s="24">
        <f t="shared" si="27"/>
        <v>3</v>
      </c>
      <c r="CQ9" s="23"/>
      <c r="CR9" s="2">
        <v>1</v>
      </c>
      <c r="CS9" s="2">
        <v>1</v>
      </c>
      <c r="CT9" s="24">
        <f t="shared" si="28"/>
        <v>1</v>
      </c>
      <c r="CU9" s="23"/>
      <c r="CV9" s="2">
        <v>1</v>
      </c>
      <c r="CW9" s="2">
        <v>2</v>
      </c>
      <c r="CX9" s="24">
        <f t="shared" si="29"/>
        <v>4</v>
      </c>
      <c r="CY9" s="23"/>
      <c r="CZ9" s="8">
        <f t="shared" si="30"/>
        <v>8</v>
      </c>
      <c r="DA9" s="2">
        <v>2</v>
      </c>
      <c r="DB9" s="2">
        <v>1</v>
      </c>
      <c r="DC9" s="24">
        <f t="shared" si="126"/>
        <v>1</v>
      </c>
      <c r="DD9" s="23"/>
      <c r="DE9" s="2">
        <v>2</v>
      </c>
      <c r="DF9" s="2">
        <v>0</v>
      </c>
      <c r="DG9" s="24">
        <f t="shared" si="127"/>
        <v>3</v>
      </c>
      <c r="DH9" s="23"/>
      <c r="DI9" s="2">
        <v>1</v>
      </c>
      <c r="DJ9" s="2">
        <v>0</v>
      </c>
      <c r="DK9" s="24">
        <f t="shared" si="128"/>
        <v>4</v>
      </c>
      <c r="DL9" s="23"/>
      <c r="DM9" s="2">
        <v>1</v>
      </c>
      <c r="DN9" s="2">
        <v>1</v>
      </c>
      <c r="DO9" s="24">
        <f t="shared" si="129"/>
        <v>1</v>
      </c>
      <c r="DP9" s="23"/>
      <c r="DQ9" s="8">
        <f t="shared" si="31"/>
        <v>9</v>
      </c>
      <c r="DR9" s="2">
        <v>2</v>
      </c>
      <c r="DS9" s="2">
        <v>1</v>
      </c>
      <c r="DT9" s="24">
        <f t="shared" si="130"/>
        <v>4</v>
      </c>
      <c r="DU9" s="23"/>
      <c r="DV9" s="2">
        <v>1</v>
      </c>
      <c r="DW9" s="2">
        <v>2</v>
      </c>
      <c r="DX9" s="24">
        <f t="shared" si="131"/>
        <v>3</v>
      </c>
      <c r="DY9" s="23"/>
      <c r="DZ9" s="2">
        <v>3</v>
      </c>
      <c r="EA9" s="2">
        <v>0</v>
      </c>
      <c r="EB9" s="24">
        <f t="shared" si="132"/>
        <v>5</v>
      </c>
      <c r="EC9" s="23"/>
      <c r="ED9" s="2">
        <v>2</v>
      </c>
      <c r="EE9" s="2">
        <v>1</v>
      </c>
      <c r="EF9" s="24">
        <f t="shared" si="133"/>
        <v>1</v>
      </c>
      <c r="EG9" s="23"/>
      <c r="EH9" s="8">
        <f t="shared" si="32"/>
        <v>13</v>
      </c>
      <c r="EI9" s="2">
        <v>2</v>
      </c>
      <c r="EJ9" s="2">
        <v>0</v>
      </c>
      <c r="EK9" s="24">
        <f t="shared" si="33"/>
        <v>3</v>
      </c>
      <c r="EL9" s="23"/>
      <c r="EM9" s="2">
        <v>3</v>
      </c>
      <c r="EN9" s="2">
        <v>0</v>
      </c>
      <c r="EO9" s="24">
        <f t="shared" si="34"/>
        <v>3</v>
      </c>
      <c r="EP9" s="23"/>
      <c r="EQ9" s="2">
        <v>2</v>
      </c>
      <c r="ER9" s="2">
        <v>0</v>
      </c>
      <c r="ES9" s="24">
        <f t="shared" si="35"/>
        <v>1</v>
      </c>
      <c r="ET9" s="23"/>
      <c r="EU9" s="2">
        <v>1</v>
      </c>
      <c r="EV9" s="2">
        <v>1</v>
      </c>
      <c r="EW9" s="24">
        <f t="shared" si="36"/>
        <v>0</v>
      </c>
      <c r="EX9" s="23"/>
      <c r="EY9" s="8">
        <f t="shared" si="37"/>
        <v>7</v>
      </c>
      <c r="EZ9" s="2">
        <v>2</v>
      </c>
      <c r="FA9" s="2">
        <v>0</v>
      </c>
      <c r="FB9" s="24"/>
      <c r="FC9" s="23"/>
      <c r="FD9" s="2">
        <v>2</v>
      </c>
      <c r="FE9" s="2">
        <v>0</v>
      </c>
      <c r="FF9" s="24"/>
      <c r="FG9" s="23"/>
      <c r="FH9" s="2">
        <v>2</v>
      </c>
      <c r="FI9" s="2">
        <v>1</v>
      </c>
      <c r="FJ9" s="24"/>
      <c r="FK9" s="23"/>
      <c r="FL9" s="2">
        <v>1</v>
      </c>
      <c r="FM9" s="2">
        <v>2</v>
      </c>
      <c r="FN9" s="24"/>
      <c r="FO9" s="23"/>
      <c r="FP9" s="8">
        <f t="shared" si="38"/>
        <v>0</v>
      </c>
      <c r="FQ9" s="2"/>
      <c r="FR9" s="2"/>
      <c r="FS9" s="24">
        <f t="shared" si="39"/>
        <v>0</v>
      </c>
      <c r="FT9" s="23"/>
      <c r="FU9" s="2"/>
      <c r="FV9" s="2"/>
      <c r="FW9" s="24">
        <f t="shared" si="40"/>
        <v>0</v>
      </c>
      <c r="FX9" s="23"/>
      <c r="FY9" s="2"/>
      <c r="FZ9" s="2"/>
      <c r="GA9" s="24">
        <f t="shared" si="41"/>
        <v>0</v>
      </c>
      <c r="GB9" s="23"/>
      <c r="GC9" s="2"/>
      <c r="GD9" s="2"/>
      <c r="GE9" s="24">
        <f t="shared" si="42"/>
        <v>0</v>
      </c>
      <c r="GF9" s="23"/>
      <c r="GG9" s="8">
        <f t="shared" si="43"/>
        <v>0</v>
      </c>
      <c r="GH9" s="2"/>
      <c r="GI9" s="2"/>
      <c r="GJ9" s="24">
        <f t="shared" si="44"/>
        <v>0</v>
      </c>
      <c r="GK9" s="23"/>
      <c r="GL9" s="2"/>
      <c r="GM9" s="2"/>
      <c r="GN9" s="24">
        <f t="shared" si="45"/>
        <v>0</v>
      </c>
      <c r="GO9" s="23"/>
      <c r="GP9" s="2"/>
      <c r="GQ9" s="2"/>
      <c r="GR9" s="24">
        <f t="shared" si="46"/>
        <v>0</v>
      </c>
      <c r="GS9" s="23"/>
      <c r="GT9" s="2"/>
      <c r="GU9" s="2"/>
      <c r="GV9" s="24">
        <f t="shared" si="47"/>
        <v>0</v>
      </c>
      <c r="GW9" s="23"/>
      <c r="GX9" s="8">
        <f t="shared" si="48"/>
        <v>0</v>
      </c>
      <c r="GY9" s="2"/>
      <c r="GZ9" s="2"/>
      <c r="HA9" s="24">
        <f t="shared" si="49"/>
        <v>0</v>
      </c>
      <c r="HB9" s="23"/>
      <c r="HC9" s="2"/>
      <c r="HD9" s="2"/>
      <c r="HE9" s="24">
        <f t="shared" si="50"/>
        <v>0</v>
      </c>
      <c r="HF9" s="23"/>
      <c r="HG9" s="2"/>
      <c r="HH9" s="2"/>
      <c r="HI9" s="24">
        <f t="shared" si="51"/>
        <v>0</v>
      </c>
      <c r="HJ9" s="23"/>
      <c r="HK9" s="2"/>
      <c r="HL9" s="2"/>
      <c r="HM9" s="24">
        <f t="shared" si="52"/>
        <v>0</v>
      </c>
      <c r="HN9" s="23"/>
      <c r="HO9" s="2"/>
      <c r="HP9" s="2"/>
      <c r="HQ9" s="24">
        <f t="shared" si="53"/>
        <v>0</v>
      </c>
      <c r="HR9" s="23"/>
      <c r="HS9" s="2"/>
      <c r="HT9" s="2"/>
      <c r="HU9" s="24">
        <f t="shared" si="54"/>
        <v>0</v>
      </c>
      <c r="HV9" s="23"/>
      <c r="HW9" s="8">
        <f t="shared" si="55"/>
        <v>0</v>
      </c>
      <c r="HX9" s="2"/>
      <c r="HY9" s="2"/>
      <c r="HZ9" s="24">
        <f t="shared" si="56"/>
        <v>0</v>
      </c>
      <c r="IA9" s="23"/>
      <c r="IB9" s="2"/>
      <c r="IC9" s="2"/>
      <c r="ID9" s="24">
        <f t="shared" si="57"/>
        <v>0</v>
      </c>
      <c r="IE9" s="23"/>
      <c r="IF9" s="2"/>
      <c r="IG9" s="2"/>
      <c r="IH9" s="24">
        <f t="shared" si="58"/>
        <v>0</v>
      </c>
      <c r="II9" s="23"/>
      <c r="IJ9" s="2"/>
      <c r="IK9" s="2"/>
      <c r="IL9" s="24">
        <f t="shared" si="59"/>
        <v>0</v>
      </c>
      <c r="IM9" s="23"/>
      <c r="IN9" s="2"/>
      <c r="IO9" s="2"/>
      <c r="IP9" s="24">
        <f t="shared" si="60"/>
        <v>0</v>
      </c>
      <c r="IQ9" s="23"/>
      <c r="IR9" s="2"/>
      <c r="IS9" s="2"/>
      <c r="IT9" s="24">
        <f t="shared" si="61"/>
        <v>0</v>
      </c>
      <c r="IU9" s="23"/>
      <c r="IV9" s="8">
        <f t="shared" si="62"/>
        <v>0</v>
      </c>
      <c r="IW9" s="2"/>
      <c r="IX9" s="2"/>
      <c r="IY9" s="24">
        <f t="shared" si="63"/>
        <v>0</v>
      </c>
      <c r="IZ9" s="23"/>
      <c r="JA9" s="2"/>
      <c r="JB9" s="2"/>
      <c r="JC9" s="24">
        <f t="shared" si="64"/>
        <v>0</v>
      </c>
      <c r="JD9" s="23"/>
      <c r="JE9" s="2"/>
      <c r="JF9" s="2"/>
      <c r="JG9" s="24">
        <f t="shared" si="65"/>
        <v>0</v>
      </c>
      <c r="JH9" s="23"/>
      <c r="JI9" s="2"/>
      <c r="JJ9" s="2"/>
      <c r="JK9" s="24">
        <f t="shared" si="66"/>
        <v>0</v>
      </c>
      <c r="JL9" s="23"/>
      <c r="JM9" s="2"/>
      <c r="JN9" s="2"/>
      <c r="JO9" s="24">
        <f t="shared" si="67"/>
        <v>0</v>
      </c>
      <c r="JP9" s="23"/>
      <c r="JQ9" s="2"/>
      <c r="JR9" s="2"/>
      <c r="JS9" s="24">
        <f t="shared" si="68"/>
        <v>0</v>
      </c>
      <c r="JT9" s="23"/>
      <c r="JU9" s="8">
        <f t="shared" si="69"/>
        <v>0</v>
      </c>
      <c r="JV9" s="2"/>
      <c r="JW9" s="2"/>
      <c r="JX9" s="24">
        <f t="shared" si="70"/>
        <v>0</v>
      </c>
      <c r="JY9" s="23"/>
      <c r="JZ9" s="2"/>
      <c r="KA9" s="2"/>
      <c r="KB9" s="24">
        <f t="shared" si="71"/>
        <v>0</v>
      </c>
      <c r="KC9" s="23"/>
      <c r="KD9" s="2"/>
      <c r="KE9" s="2"/>
      <c r="KF9" s="24">
        <f t="shared" si="72"/>
        <v>0</v>
      </c>
      <c r="KG9" s="23"/>
      <c r="KH9" s="2"/>
      <c r="KI9" s="2"/>
      <c r="KJ9" s="24">
        <f t="shared" si="73"/>
        <v>0</v>
      </c>
      <c r="KK9" s="23"/>
      <c r="KL9" s="2"/>
      <c r="KM9" s="2"/>
      <c r="KN9" s="24">
        <f t="shared" si="74"/>
        <v>0</v>
      </c>
      <c r="KO9" s="23"/>
      <c r="KP9" s="2"/>
      <c r="KQ9" s="2"/>
      <c r="KR9" s="24">
        <f t="shared" si="75"/>
        <v>0</v>
      </c>
      <c r="KS9" s="23"/>
      <c r="KT9" s="8">
        <f t="shared" si="76"/>
        <v>0</v>
      </c>
      <c r="KU9" s="2"/>
      <c r="KV9" s="2"/>
      <c r="KW9" s="24">
        <f t="shared" si="77"/>
        <v>0</v>
      </c>
      <c r="KX9" s="23"/>
      <c r="KY9" s="8">
        <f t="shared" si="78"/>
        <v>0</v>
      </c>
      <c r="KZ9" s="2"/>
      <c r="LA9" s="2"/>
      <c r="LB9" s="24">
        <f t="shared" si="79"/>
        <v>0</v>
      </c>
      <c r="LC9" s="23"/>
      <c r="LD9" s="2"/>
      <c r="LE9" s="2"/>
      <c r="LF9" s="24">
        <f t="shared" si="80"/>
        <v>0</v>
      </c>
      <c r="LG9" s="23"/>
      <c r="LH9" s="2"/>
      <c r="LI9" s="2"/>
      <c r="LJ9" s="24">
        <f t="shared" si="81"/>
        <v>0</v>
      </c>
      <c r="LK9" s="23"/>
      <c r="LL9" s="8">
        <f t="shared" si="82"/>
        <v>0</v>
      </c>
      <c r="LM9" s="2"/>
      <c r="LN9" s="2"/>
      <c r="LO9" s="24">
        <f t="shared" si="83"/>
        <v>0</v>
      </c>
      <c r="LP9" s="23"/>
      <c r="LQ9" s="2"/>
      <c r="LR9" s="2"/>
      <c r="LS9" s="24">
        <f t="shared" si="84"/>
        <v>0</v>
      </c>
      <c r="LT9" s="23"/>
      <c r="LU9" s="2"/>
      <c r="LV9" s="2"/>
      <c r="LW9" s="24">
        <f t="shared" si="85"/>
        <v>0</v>
      </c>
      <c r="LX9" s="23"/>
      <c r="LY9" s="8">
        <f t="shared" si="86"/>
        <v>0</v>
      </c>
      <c r="LZ9" s="2"/>
      <c r="MA9" s="2"/>
      <c r="MB9" s="24">
        <f t="shared" si="87"/>
        <v>0</v>
      </c>
      <c r="MC9" s="23"/>
      <c r="MD9" s="2"/>
      <c r="ME9" s="2"/>
      <c r="MF9" s="24">
        <f t="shared" si="88"/>
        <v>0</v>
      </c>
      <c r="MG9" s="23"/>
      <c r="MH9" s="2"/>
      <c r="MI9" s="2"/>
      <c r="MJ9" s="24">
        <f t="shared" si="89"/>
        <v>0</v>
      </c>
      <c r="MK9" s="23"/>
      <c r="ML9" s="8">
        <f t="shared" si="90"/>
        <v>0</v>
      </c>
      <c r="MM9" s="2"/>
      <c r="MN9" s="2"/>
      <c r="MO9" s="24">
        <f t="shared" si="91"/>
        <v>0</v>
      </c>
      <c r="MP9" s="23"/>
      <c r="MQ9" s="2"/>
      <c r="MR9" s="2"/>
      <c r="MS9" s="24">
        <f t="shared" si="92"/>
        <v>0</v>
      </c>
      <c r="MT9" s="23"/>
      <c r="MU9" s="2"/>
      <c r="MV9" s="2"/>
      <c r="MW9" s="24">
        <f t="shared" si="93"/>
        <v>0</v>
      </c>
      <c r="MX9" s="23"/>
      <c r="MY9" s="8">
        <f t="shared" si="94"/>
        <v>0</v>
      </c>
      <c r="MZ9" s="2"/>
      <c r="NA9" s="2"/>
      <c r="NB9" s="24">
        <f t="shared" si="95"/>
        <v>0</v>
      </c>
      <c r="NC9" s="23"/>
      <c r="ND9" s="2"/>
      <c r="NE9" s="2"/>
      <c r="NF9" s="24">
        <f t="shared" si="96"/>
        <v>0</v>
      </c>
      <c r="NG9" s="23"/>
      <c r="NH9" s="2"/>
      <c r="NI9" s="2"/>
      <c r="NJ9" s="24">
        <f t="shared" si="97"/>
        <v>0</v>
      </c>
      <c r="NK9" s="23"/>
      <c r="NL9" s="8">
        <f t="shared" si="98"/>
        <v>0</v>
      </c>
      <c r="NM9" s="2"/>
      <c r="NN9" s="2"/>
      <c r="NO9" s="24">
        <f t="shared" si="99"/>
        <v>0</v>
      </c>
      <c r="NP9" s="23"/>
      <c r="NQ9" s="2"/>
      <c r="NR9" s="2"/>
      <c r="NS9" s="24">
        <f t="shared" si="100"/>
        <v>0</v>
      </c>
      <c r="NT9" s="23"/>
      <c r="NU9" s="8">
        <f t="shared" si="101"/>
        <v>0</v>
      </c>
      <c r="NV9" s="2"/>
      <c r="NW9" s="2"/>
      <c r="NX9" s="24">
        <f t="shared" si="102"/>
        <v>0</v>
      </c>
      <c r="NY9" s="23"/>
      <c r="NZ9" s="2"/>
      <c r="OA9" s="2"/>
      <c r="OB9" s="24">
        <f t="shared" si="103"/>
        <v>0</v>
      </c>
      <c r="OC9" s="23"/>
      <c r="OD9" s="8">
        <f t="shared" si="104"/>
        <v>0</v>
      </c>
      <c r="OE9" s="2"/>
      <c r="OF9" s="2"/>
      <c r="OG9" s="24">
        <f t="shared" si="105"/>
        <v>0</v>
      </c>
      <c r="OH9" s="23"/>
      <c r="OI9" s="2"/>
      <c r="OJ9" s="2"/>
      <c r="OK9" s="24">
        <f t="shared" si="106"/>
        <v>0</v>
      </c>
      <c r="OL9" s="23"/>
      <c r="OM9" s="8">
        <f t="shared" si="107"/>
        <v>0</v>
      </c>
      <c r="ON9" s="2"/>
      <c r="OO9" s="2"/>
      <c r="OP9" s="24">
        <f t="shared" si="108"/>
        <v>0</v>
      </c>
      <c r="OQ9" s="23"/>
      <c r="OR9" s="2"/>
      <c r="OS9" s="2"/>
      <c r="OT9" s="24">
        <f t="shared" si="109"/>
        <v>0</v>
      </c>
      <c r="OU9" s="23"/>
      <c r="OV9" s="8">
        <f t="shared" si="110"/>
        <v>0</v>
      </c>
      <c r="OW9" s="2"/>
      <c r="OX9" s="2"/>
      <c r="OY9" s="24">
        <f t="shared" si="111"/>
        <v>0</v>
      </c>
      <c r="OZ9" s="23"/>
      <c r="PA9" s="8">
        <f t="shared" si="112"/>
        <v>0</v>
      </c>
      <c r="PB9" s="2"/>
      <c r="PC9" s="2"/>
      <c r="PD9" s="24">
        <f t="shared" si="113"/>
        <v>0</v>
      </c>
      <c r="PE9" s="23"/>
      <c r="PF9" s="8">
        <f t="shared" si="114"/>
        <v>0</v>
      </c>
      <c r="PG9" s="2"/>
      <c r="PH9" s="2"/>
      <c r="PI9" s="24">
        <f t="shared" si="115"/>
        <v>0</v>
      </c>
      <c r="PJ9" s="23"/>
      <c r="PK9" s="2"/>
      <c r="PL9" s="2"/>
      <c r="PM9" s="24">
        <f t="shared" si="116"/>
        <v>0</v>
      </c>
      <c r="PN9" s="23"/>
      <c r="PO9" s="8">
        <f t="shared" si="117"/>
        <v>0</v>
      </c>
      <c r="PP9" s="2"/>
      <c r="PQ9" s="2"/>
      <c r="PR9" s="24">
        <f t="shared" si="118"/>
        <v>0</v>
      </c>
      <c r="PS9" s="23"/>
      <c r="PT9" s="8">
        <f t="shared" si="119"/>
        <v>0</v>
      </c>
      <c r="PU9" s="2"/>
      <c r="PV9" s="2"/>
      <c r="PW9" s="24">
        <f t="shared" si="120"/>
        <v>0</v>
      </c>
      <c r="PX9" s="23"/>
      <c r="PY9" s="8">
        <f t="shared" si="121"/>
        <v>0</v>
      </c>
      <c r="PZ9" s="2"/>
      <c r="QA9" s="2"/>
      <c r="QB9" s="24">
        <f t="shared" si="122"/>
        <v>0</v>
      </c>
      <c r="QC9" s="23"/>
      <c r="QD9" s="8">
        <f t="shared" si="123"/>
        <v>0</v>
      </c>
      <c r="QE9" s="2"/>
      <c r="QF9" s="2"/>
      <c r="QG9" s="24">
        <f t="shared" si="124"/>
        <v>0</v>
      </c>
      <c r="QH9" s="23"/>
      <c r="QI9" s="8">
        <f t="shared" si="125"/>
        <v>0</v>
      </c>
    </row>
    <row r="10" spans="1:451" ht="14.25" customHeight="1" x14ac:dyDescent="0.3">
      <c r="A10" s="5" t="s">
        <v>9</v>
      </c>
      <c r="B10" s="2">
        <v>2</v>
      </c>
      <c r="C10" s="2">
        <v>1</v>
      </c>
      <c r="D10" s="24">
        <f t="shared" si="0"/>
        <v>4</v>
      </c>
      <c r="E10" s="23"/>
      <c r="F10" s="2">
        <v>2</v>
      </c>
      <c r="G10" s="2">
        <v>1</v>
      </c>
      <c r="H10" s="24">
        <f t="shared" si="1"/>
        <v>5</v>
      </c>
      <c r="I10" s="23"/>
      <c r="J10" s="8">
        <f t="shared" si="2"/>
        <v>9</v>
      </c>
      <c r="K10" s="2">
        <v>1</v>
      </c>
      <c r="L10" s="2">
        <v>0</v>
      </c>
      <c r="M10" s="24">
        <f t="shared" si="3"/>
        <v>1</v>
      </c>
      <c r="N10" s="23"/>
      <c r="O10" s="2">
        <v>2</v>
      </c>
      <c r="P10" s="2">
        <v>1</v>
      </c>
      <c r="Q10" s="24">
        <f t="shared" si="4"/>
        <v>4</v>
      </c>
      <c r="R10" s="23"/>
      <c r="S10" s="8">
        <f t="shared" si="5"/>
        <v>5</v>
      </c>
      <c r="T10" s="2">
        <v>0</v>
      </c>
      <c r="U10" s="2">
        <v>3</v>
      </c>
      <c r="V10" s="24">
        <f t="shared" si="6"/>
        <v>0</v>
      </c>
      <c r="W10" s="23"/>
      <c r="X10" s="2">
        <v>1</v>
      </c>
      <c r="Y10" s="2">
        <v>1</v>
      </c>
      <c r="Z10" s="24">
        <f t="shared" si="7"/>
        <v>5</v>
      </c>
      <c r="AA10" s="23"/>
      <c r="AB10" s="2">
        <v>0</v>
      </c>
      <c r="AC10" s="2">
        <v>2</v>
      </c>
      <c r="AD10" s="24">
        <f t="shared" si="8"/>
        <v>4</v>
      </c>
      <c r="AE10" s="23"/>
      <c r="AF10" s="2">
        <v>1</v>
      </c>
      <c r="AG10" s="2">
        <v>2</v>
      </c>
      <c r="AH10" s="24">
        <f t="shared" si="9"/>
        <v>0</v>
      </c>
      <c r="AI10" s="23"/>
      <c r="AJ10" s="8">
        <f t="shared" si="10"/>
        <v>9</v>
      </c>
      <c r="AK10" s="2">
        <v>6</v>
      </c>
      <c r="AL10" s="2">
        <v>0</v>
      </c>
      <c r="AM10" s="24">
        <f t="shared" si="11"/>
        <v>3</v>
      </c>
      <c r="AN10" s="23"/>
      <c r="AO10" s="2">
        <v>2</v>
      </c>
      <c r="AP10" s="2">
        <v>1</v>
      </c>
      <c r="AQ10" s="24">
        <f t="shared" si="12"/>
        <v>1</v>
      </c>
      <c r="AR10" s="23"/>
      <c r="AS10" s="2">
        <v>1</v>
      </c>
      <c r="AT10" s="2">
        <v>2</v>
      </c>
      <c r="AU10" s="24">
        <f t="shared" si="13"/>
        <v>1</v>
      </c>
      <c r="AV10" s="23"/>
      <c r="AW10" s="2">
        <v>2</v>
      </c>
      <c r="AX10" s="2">
        <v>1</v>
      </c>
      <c r="AY10" s="24">
        <f t="shared" si="14"/>
        <v>4</v>
      </c>
      <c r="AZ10" s="23"/>
      <c r="BA10" s="8">
        <f t="shared" si="15"/>
        <v>9</v>
      </c>
      <c r="BB10" s="2">
        <v>5</v>
      </c>
      <c r="BC10" s="2">
        <v>0</v>
      </c>
      <c r="BD10" s="24">
        <f t="shared" si="16"/>
        <v>1</v>
      </c>
      <c r="BE10" s="23"/>
      <c r="BF10" s="2">
        <v>2</v>
      </c>
      <c r="BG10" s="2">
        <v>1</v>
      </c>
      <c r="BH10" s="24">
        <f t="shared" si="17"/>
        <v>1</v>
      </c>
      <c r="BI10" s="23"/>
      <c r="BJ10" s="2">
        <v>1</v>
      </c>
      <c r="BK10" s="2">
        <v>2</v>
      </c>
      <c r="BL10" s="24">
        <f t="shared" si="18"/>
        <v>1</v>
      </c>
      <c r="BM10" s="23"/>
      <c r="BN10" s="2">
        <v>2</v>
      </c>
      <c r="BO10" s="2">
        <v>1</v>
      </c>
      <c r="BP10" s="24">
        <f t="shared" si="19"/>
        <v>1</v>
      </c>
      <c r="BQ10" s="23"/>
      <c r="BR10" s="8">
        <f t="shared" si="20"/>
        <v>4</v>
      </c>
      <c r="BS10" s="2">
        <v>3</v>
      </c>
      <c r="BT10" s="2">
        <v>0</v>
      </c>
      <c r="BU10" s="24">
        <f t="shared" si="21"/>
        <v>4</v>
      </c>
      <c r="BV10" s="23"/>
      <c r="BW10" s="2">
        <v>1</v>
      </c>
      <c r="BX10" s="2">
        <v>2</v>
      </c>
      <c r="BY10" s="24">
        <f t="shared" si="22"/>
        <v>4</v>
      </c>
      <c r="BZ10" s="23"/>
      <c r="CA10" s="2">
        <v>4</v>
      </c>
      <c r="CB10" s="2">
        <v>0</v>
      </c>
      <c r="CC10" s="24">
        <f t="shared" si="23"/>
        <v>4</v>
      </c>
      <c r="CD10" s="23"/>
      <c r="CE10" s="2">
        <v>2</v>
      </c>
      <c r="CF10" s="2">
        <v>1</v>
      </c>
      <c r="CG10" s="24">
        <f t="shared" si="24"/>
        <v>4</v>
      </c>
      <c r="CH10" s="23"/>
      <c r="CI10" s="8">
        <f t="shared" si="25"/>
        <v>16</v>
      </c>
      <c r="CJ10" s="2">
        <v>3</v>
      </c>
      <c r="CK10" s="2">
        <v>0</v>
      </c>
      <c r="CL10" s="24">
        <f t="shared" si="26"/>
        <v>0</v>
      </c>
      <c r="CM10" s="23"/>
      <c r="CN10" s="2">
        <v>1</v>
      </c>
      <c r="CO10" s="2">
        <v>1</v>
      </c>
      <c r="CP10" s="24">
        <f t="shared" si="27"/>
        <v>0</v>
      </c>
      <c r="CQ10" s="23"/>
      <c r="CR10" s="2">
        <v>2</v>
      </c>
      <c r="CS10" s="2">
        <v>1</v>
      </c>
      <c r="CT10" s="24">
        <f t="shared" si="28"/>
        <v>3</v>
      </c>
      <c r="CU10" s="23"/>
      <c r="CV10" s="2">
        <v>1</v>
      </c>
      <c r="CW10" s="2">
        <v>2</v>
      </c>
      <c r="CX10" s="24">
        <f t="shared" si="29"/>
        <v>4</v>
      </c>
      <c r="CY10" s="23"/>
      <c r="CZ10" s="8">
        <f t="shared" si="30"/>
        <v>7</v>
      </c>
      <c r="DA10" s="2">
        <v>2</v>
      </c>
      <c r="DB10" s="2">
        <v>1</v>
      </c>
      <c r="DC10" s="24">
        <f t="shared" si="126"/>
        <v>1</v>
      </c>
      <c r="DD10" s="23"/>
      <c r="DE10" s="2">
        <v>2</v>
      </c>
      <c r="DF10" s="2">
        <v>1</v>
      </c>
      <c r="DG10" s="24">
        <f t="shared" si="127"/>
        <v>4</v>
      </c>
      <c r="DH10" s="23"/>
      <c r="DI10" s="2">
        <v>2</v>
      </c>
      <c r="DJ10" s="2">
        <v>1</v>
      </c>
      <c r="DK10" s="24">
        <f t="shared" si="128"/>
        <v>3</v>
      </c>
      <c r="DL10" s="23"/>
      <c r="DM10" s="2">
        <v>1</v>
      </c>
      <c r="DN10" s="2">
        <v>1</v>
      </c>
      <c r="DO10" s="24">
        <f t="shared" si="129"/>
        <v>1</v>
      </c>
      <c r="DP10" s="23"/>
      <c r="DQ10" s="8">
        <f t="shared" si="31"/>
        <v>9</v>
      </c>
      <c r="DR10" s="2">
        <v>2</v>
      </c>
      <c r="DS10" s="2">
        <v>0</v>
      </c>
      <c r="DT10" s="24">
        <f t="shared" si="130"/>
        <v>5</v>
      </c>
      <c r="DU10" s="23"/>
      <c r="DV10" s="2">
        <v>1</v>
      </c>
      <c r="DW10" s="2">
        <v>2</v>
      </c>
      <c r="DX10" s="24">
        <f t="shared" si="131"/>
        <v>3</v>
      </c>
      <c r="DY10" s="23"/>
      <c r="DZ10" s="2">
        <v>4</v>
      </c>
      <c r="EA10" s="2">
        <v>0</v>
      </c>
      <c r="EB10" s="24">
        <f t="shared" si="132"/>
        <v>4</v>
      </c>
      <c r="EC10" s="23"/>
      <c r="ED10" s="2">
        <v>2</v>
      </c>
      <c r="EE10" s="2">
        <v>0</v>
      </c>
      <c r="EF10" s="24">
        <f t="shared" si="133"/>
        <v>0</v>
      </c>
      <c r="EG10" s="23"/>
      <c r="EH10" s="8">
        <f t="shared" si="32"/>
        <v>12</v>
      </c>
      <c r="EI10" s="2">
        <v>2</v>
      </c>
      <c r="EJ10" s="2">
        <v>1</v>
      </c>
      <c r="EK10" s="24">
        <f t="shared" si="33"/>
        <v>4</v>
      </c>
      <c r="EL10" s="23"/>
      <c r="EM10" s="2">
        <v>4</v>
      </c>
      <c r="EN10" s="2">
        <v>1</v>
      </c>
      <c r="EO10" s="24">
        <f t="shared" si="34"/>
        <v>4</v>
      </c>
      <c r="EP10" s="23"/>
      <c r="EQ10" s="2">
        <v>4</v>
      </c>
      <c r="ER10" s="2">
        <v>0</v>
      </c>
      <c r="ES10" s="24">
        <f t="shared" si="35"/>
        <v>1</v>
      </c>
      <c r="ET10" s="23"/>
      <c r="EU10" s="2">
        <v>1</v>
      </c>
      <c r="EV10" s="2">
        <v>2</v>
      </c>
      <c r="EW10" s="24">
        <f t="shared" si="36"/>
        <v>3</v>
      </c>
      <c r="EX10" s="23"/>
      <c r="EY10" s="8">
        <f t="shared" si="37"/>
        <v>12</v>
      </c>
      <c r="EZ10" s="21">
        <v>4</v>
      </c>
      <c r="FA10" s="21">
        <v>0</v>
      </c>
      <c r="FB10" s="24"/>
      <c r="FC10" s="23"/>
      <c r="FD10" s="21">
        <v>3</v>
      </c>
      <c r="FE10" s="21">
        <v>1</v>
      </c>
      <c r="FF10" s="24"/>
      <c r="FG10" s="23"/>
      <c r="FH10" s="21">
        <v>2</v>
      </c>
      <c r="FI10" s="21">
        <v>0</v>
      </c>
      <c r="FJ10" s="24"/>
      <c r="FK10" s="23"/>
      <c r="FL10" s="21">
        <v>2</v>
      </c>
      <c r="FM10" s="21">
        <v>1</v>
      </c>
      <c r="FN10" s="24"/>
      <c r="FO10" s="23"/>
      <c r="FP10" s="8">
        <f t="shared" si="38"/>
        <v>0</v>
      </c>
      <c r="FQ10" s="2"/>
      <c r="FR10" s="2"/>
      <c r="FS10" s="24">
        <f t="shared" si="39"/>
        <v>0</v>
      </c>
      <c r="FT10" s="23"/>
      <c r="FU10" s="2"/>
      <c r="FV10" s="2"/>
      <c r="FW10" s="24">
        <f t="shared" si="40"/>
        <v>0</v>
      </c>
      <c r="FX10" s="23"/>
      <c r="FY10" s="2"/>
      <c r="FZ10" s="2"/>
      <c r="GA10" s="24">
        <f t="shared" si="41"/>
        <v>0</v>
      </c>
      <c r="GB10" s="23"/>
      <c r="GC10" s="2"/>
      <c r="GD10" s="2"/>
      <c r="GE10" s="24">
        <f t="shared" si="42"/>
        <v>0</v>
      </c>
      <c r="GF10" s="23"/>
      <c r="GG10" s="8">
        <f t="shared" si="43"/>
        <v>0</v>
      </c>
      <c r="GH10" s="2"/>
      <c r="GI10" s="2"/>
      <c r="GJ10" s="24">
        <f t="shared" si="44"/>
        <v>0</v>
      </c>
      <c r="GK10" s="23"/>
      <c r="GL10" s="2"/>
      <c r="GM10" s="2"/>
      <c r="GN10" s="24">
        <f t="shared" si="45"/>
        <v>0</v>
      </c>
      <c r="GO10" s="23"/>
      <c r="GP10" s="2"/>
      <c r="GQ10" s="2"/>
      <c r="GR10" s="24">
        <f t="shared" si="46"/>
        <v>0</v>
      </c>
      <c r="GS10" s="23"/>
      <c r="GT10" s="2"/>
      <c r="GU10" s="2"/>
      <c r="GV10" s="24">
        <f t="shared" si="47"/>
        <v>0</v>
      </c>
      <c r="GW10" s="23"/>
      <c r="GX10" s="8">
        <f t="shared" si="48"/>
        <v>0</v>
      </c>
      <c r="GY10" s="2"/>
      <c r="GZ10" s="2"/>
      <c r="HA10" s="24">
        <f t="shared" si="49"/>
        <v>0</v>
      </c>
      <c r="HB10" s="23"/>
      <c r="HC10" s="2"/>
      <c r="HD10" s="2"/>
      <c r="HE10" s="24">
        <f t="shared" si="50"/>
        <v>0</v>
      </c>
      <c r="HF10" s="23"/>
      <c r="HG10" s="2"/>
      <c r="HH10" s="2"/>
      <c r="HI10" s="24">
        <f t="shared" si="51"/>
        <v>0</v>
      </c>
      <c r="HJ10" s="23"/>
      <c r="HK10" s="2"/>
      <c r="HL10" s="2"/>
      <c r="HM10" s="24">
        <f t="shared" si="52"/>
        <v>0</v>
      </c>
      <c r="HN10" s="23"/>
      <c r="HO10" s="2"/>
      <c r="HP10" s="2"/>
      <c r="HQ10" s="24">
        <f t="shared" si="53"/>
        <v>0</v>
      </c>
      <c r="HR10" s="23"/>
      <c r="HS10" s="2"/>
      <c r="HT10" s="2"/>
      <c r="HU10" s="24">
        <f t="shared" si="54"/>
        <v>0</v>
      </c>
      <c r="HV10" s="23"/>
      <c r="HW10" s="8">
        <f t="shared" si="55"/>
        <v>0</v>
      </c>
      <c r="HX10" s="2"/>
      <c r="HY10" s="2"/>
      <c r="HZ10" s="24">
        <f t="shared" si="56"/>
        <v>0</v>
      </c>
      <c r="IA10" s="23"/>
      <c r="IB10" s="2"/>
      <c r="IC10" s="2"/>
      <c r="ID10" s="24">
        <f t="shared" si="57"/>
        <v>0</v>
      </c>
      <c r="IE10" s="23"/>
      <c r="IF10" s="2"/>
      <c r="IG10" s="2"/>
      <c r="IH10" s="24">
        <f t="shared" si="58"/>
        <v>0</v>
      </c>
      <c r="II10" s="23"/>
      <c r="IJ10" s="2"/>
      <c r="IK10" s="2"/>
      <c r="IL10" s="24">
        <f t="shared" si="59"/>
        <v>0</v>
      </c>
      <c r="IM10" s="23"/>
      <c r="IN10" s="2"/>
      <c r="IO10" s="2"/>
      <c r="IP10" s="24">
        <f t="shared" si="60"/>
        <v>0</v>
      </c>
      <c r="IQ10" s="23"/>
      <c r="IR10" s="2"/>
      <c r="IS10" s="2"/>
      <c r="IT10" s="24">
        <f t="shared" si="61"/>
        <v>0</v>
      </c>
      <c r="IU10" s="23"/>
      <c r="IV10" s="8">
        <f t="shared" si="62"/>
        <v>0</v>
      </c>
      <c r="IW10" s="2"/>
      <c r="IX10" s="2"/>
      <c r="IY10" s="24">
        <f t="shared" si="63"/>
        <v>0</v>
      </c>
      <c r="IZ10" s="23"/>
      <c r="JA10" s="2"/>
      <c r="JB10" s="2"/>
      <c r="JC10" s="24">
        <f t="shared" si="64"/>
        <v>0</v>
      </c>
      <c r="JD10" s="23"/>
      <c r="JE10" s="2"/>
      <c r="JF10" s="2"/>
      <c r="JG10" s="24">
        <f t="shared" si="65"/>
        <v>0</v>
      </c>
      <c r="JH10" s="23"/>
      <c r="JI10" s="2"/>
      <c r="JJ10" s="2"/>
      <c r="JK10" s="24">
        <f t="shared" si="66"/>
        <v>0</v>
      </c>
      <c r="JL10" s="23"/>
      <c r="JM10" s="2"/>
      <c r="JN10" s="2"/>
      <c r="JO10" s="24">
        <f t="shared" si="67"/>
        <v>0</v>
      </c>
      <c r="JP10" s="23"/>
      <c r="JQ10" s="2"/>
      <c r="JR10" s="2"/>
      <c r="JS10" s="24">
        <f t="shared" si="68"/>
        <v>0</v>
      </c>
      <c r="JT10" s="23"/>
      <c r="JU10" s="8">
        <f t="shared" si="69"/>
        <v>0</v>
      </c>
      <c r="JV10" s="2"/>
      <c r="JW10" s="2"/>
      <c r="JX10" s="24">
        <f t="shared" si="70"/>
        <v>0</v>
      </c>
      <c r="JY10" s="23"/>
      <c r="JZ10" s="2"/>
      <c r="KA10" s="2"/>
      <c r="KB10" s="24">
        <f t="shared" si="71"/>
        <v>0</v>
      </c>
      <c r="KC10" s="23"/>
      <c r="KD10" s="2"/>
      <c r="KE10" s="2"/>
      <c r="KF10" s="24">
        <f t="shared" si="72"/>
        <v>0</v>
      </c>
      <c r="KG10" s="23"/>
      <c r="KH10" s="2"/>
      <c r="KI10" s="2"/>
      <c r="KJ10" s="24">
        <f t="shared" si="73"/>
        <v>0</v>
      </c>
      <c r="KK10" s="23"/>
      <c r="KL10" s="2"/>
      <c r="KM10" s="2"/>
      <c r="KN10" s="24">
        <f t="shared" si="74"/>
        <v>0</v>
      </c>
      <c r="KO10" s="23"/>
      <c r="KP10" s="2"/>
      <c r="KQ10" s="2"/>
      <c r="KR10" s="24">
        <f t="shared" si="75"/>
        <v>0</v>
      </c>
      <c r="KS10" s="23"/>
      <c r="KT10" s="8">
        <f t="shared" si="76"/>
        <v>0</v>
      </c>
      <c r="KU10" s="2"/>
      <c r="KV10" s="2"/>
      <c r="KW10" s="24">
        <f t="shared" si="77"/>
        <v>0</v>
      </c>
      <c r="KX10" s="23"/>
      <c r="KY10" s="8">
        <f t="shared" si="78"/>
        <v>0</v>
      </c>
      <c r="KZ10" s="2"/>
      <c r="LA10" s="2"/>
      <c r="LB10" s="24">
        <f t="shared" si="79"/>
        <v>0</v>
      </c>
      <c r="LC10" s="23"/>
      <c r="LD10" s="2"/>
      <c r="LE10" s="2"/>
      <c r="LF10" s="24">
        <f t="shared" si="80"/>
        <v>0</v>
      </c>
      <c r="LG10" s="23"/>
      <c r="LH10" s="2"/>
      <c r="LI10" s="2"/>
      <c r="LJ10" s="24">
        <f t="shared" si="81"/>
        <v>0</v>
      </c>
      <c r="LK10" s="23"/>
      <c r="LL10" s="8">
        <f t="shared" si="82"/>
        <v>0</v>
      </c>
      <c r="LM10" s="2"/>
      <c r="LN10" s="2"/>
      <c r="LO10" s="24">
        <f t="shared" si="83"/>
        <v>0</v>
      </c>
      <c r="LP10" s="23"/>
      <c r="LQ10" s="2"/>
      <c r="LR10" s="2"/>
      <c r="LS10" s="24">
        <f t="shared" si="84"/>
        <v>0</v>
      </c>
      <c r="LT10" s="23"/>
      <c r="LU10" s="2"/>
      <c r="LV10" s="2"/>
      <c r="LW10" s="24">
        <f t="shared" si="85"/>
        <v>0</v>
      </c>
      <c r="LX10" s="23"/>
      <c r="LY10" s="8">
        <f t="shared" si="86"/>
        <v>0</v>
      </c>
      <c r="LZ10" s="2"/>
      <c r="MA10" s="2"/>
      <c r="MB10" s="24">
        <f t="shared" si="87"/>
        <v>0</v>
      </c>
      <c r="MC10" s="23"/>
      <c r="MD10" s="2"/>
      <c r="ME10" s="2"/>
      <c r="MF10" s="24">
        <f t="shared" si="88"/>
        <v>0</v>
      </c>
      <c r="MG10" s="23"/>
      <c r="MH10" s="2"/>
      <c r="MI10" s="2"/>
      <c r="MJ10" s="24">
        <f t="shared" si="89"/>
        <v>0</v>
      </c>
      <c r="MK10" s="23"/>
      <c r="ML10" s="8">
        <f t="shared" si="90"/>
        <v>0</v>
      </c>
      <c r="MM10" s="2"/>
      <c r="MN10" s="2"/>
      <c r="MO10" s="24">
        <f t="shared" si="91"/>
        <v>0</v>
      </c>
      <c r="MP10" s="23"/>
      <c r="MQ10" s="2"/>
      <c r="MR10" s="2"/>
      <c r="MS10" s="24">
        <f t="shared" si="92"/>
        <v>0</v>
      </c>
      <c r="MT10" s="23"/>
      <c r="MU10" s="2"/>
      <c r="MV10" s="2"/>
      <c r="MW10" s="24">
        <f t="shared" si="93"/>
        <v>0</v>
      </c>
      <c r="MX10" s="23"/>
      <c r="MY10" s="8">
        <f t="shared" si="94"/>
        <v>0</v>
      </c>
      <c r="MZ10" s="2"/>
      <c r="NA10" s="2"/>
      <c r="NB10" s="24">
        <f t="shared" si="95"/>
        <v>0</v>
      </c>
      <c r="NC10" s="23"/>
      <c r="ND10" s="2"/>
      <c r="NE10" s="2"/>
      <c r="NF10" s="24">
        <f t="shared" si="96"/>
        <v>0</v>
      </c>
      <c r="NG10" s="23"/>
      <c r="NH10" s="2"/>
      <c r="NI10" s="2"/>
      <c r="NJ10" s="24">
        <f t="shared" si="97"/>
        <v>0</v>
      </c>
      <c r="NK10" s="23"/>
      <c r="NL10" s="8">
        <f t="shared" si="98"/>
        <v>0</v>
      </c>
      <c r="NM10" s="2"/>
      <c r="NN10" s="2"/>
      <c r="NO10" s="24">
        <f t="shared" si="99"/>
        <v>0</v>
      </c>
      <c r="NP10" s="23"/>
      <c r="NQ10" s="2"/>
      <c r="NR10" s="2"/>
      <c r="NS10" s="24">
        <f t="shared" si="100"/>
        <v>0</v>
      </c>
      <c r="NT10" s="23"/>
      <c r="NU10" s="8">
        <f t="shared" si="101"/>
        <v>0</v>
      </c>
      <c r="NV10" s="2"/>
      <c r="NW10" s="2"/>
      <c r="NX10" s="24">
        <f t="shared" si="102"/>
        <v>0</v>
      </c>
      <c r="NY10" s="23"/>
      <c r="NZ10" s="2"/>
      <c r="OA10" s="2"/>
      <c r="OB10" s="24">
        <f t="shared" si="103"/>
        <v>0</v>
      </c>
      <c r="OC10" s="23"/>
      <c r="OD10" s="8">
        <f t="shared" si="104"/>
        <v>0</v>
      </c>
      <c r="OE10" s="2"/>
      <c r="OF10" s="2"/>
      <c r="OG10" s="24">
        <f t="shared" si="105"/>
        <v>0</v>
      </c>
      <c r="OH10" s="23"/>
      <c r="OI10" s="2"/>
      <c r="OJ10" s="2"/>
      <c r="OK10" s="24">
        <f t="shared" si="106"/>
        <v>0</v>
      </c>
      <c r="OL10" s="23"/>
      <c r="OM10" s="8">
        <f t="shared" si="107"/>
        <v>0</v>
      </c>
      <c r="ON10" s="2"/>
      <c r="OO10" s="2"/>
      <c r="OP10" s="24">
        <f t="shared" si="108"/>
        <v>0</v>
      </c>
      <c r="OQ10" s="23"/>
      <c r="OR10" s="2"/>
      <c r="OS10" s="2"/>
      <c r="OT10" s="24">
        <f t="shared" si="109"/>
        <v>0</v>
      </c>
      <c r="OU10" s="23"/>
      <c r="OV10" s="8">
        <f t="shared" si="110"/>
        <v>0</v>
      </c>
      <c r="OW10" s="2"/>
      <c r="OX10" s="2"/>
      <c r="OY10" s="24">
        <f t="shared" si="111"/>
        <v>0</v>
      </c>
      <c r="OZ10" s="23"/>
      <c r="PA10" s="8">
        <f t="shared" si="112"/>
        <v>0</v>
      </c>
      <c r="PB10" s="2"/>
      <c r="PC10" s="2"/>
      <c r="PD10" s="24">
        <f t="shared" si="113"/>
        <v>0</v>
      </c>
      <c r="PE10" s="23"/>
      <c r="PF10" s="8">
        <f t="shared" si="114"/>
        <v>0</v>
      </c>
      <c r="PG10" s="2"/>
      <c r="PH10" s="2"/>
      <c r="PI10" s="24">
        <f t="shared" si="115"/>
        <v>0</v>
      </c>
      <c r="PJ10" s="23"/>
      <c r="PK10" s="2"/>
      <c r="PL10" s="2"/>
      <c r="PM10" s="24">
        <f t="shared" si="116"/>
        <v>0</v>
      </c>
      <c r="PN10" s="23"/>
      <c r="PO10" s="8">
        <f t="shared" si="117"/>
        <v>0</v>
      </c>
      <c r="PP10" s="2"/>
      <c r="PQ10" s="2"/>
      <c r="PR10" s="24">
        <f t="shared" si="118"/>
        <v>0</v>
      </c>
      <c r="PS10" s="23"/>
      <c r="PT10" s="8">
        <f t="shared" si="119"/>
        <v>0</v>
      </c>
      <c r="PU10" s="2"/>
      <c r="PV10" s="2"/>
      <c r="PW10" s="24">
        <f t="shared" si="120"/>
        <v>0</v>
      </c>
      <c r="PX10" s="23"/>
      <c r="PY10" s="8">
        <f t="shared" si="121"/>
        <v>0</v>
      </c>
      <c r="PZ10" s="2"/>
      <c r="QA10" s="2"/>
      <c r="QB10" s="24">
        <f t="shared" si="122"/>
        <v>0</v>
      </c>
      <c r="QC10" s="23"/>
      <c r="QD10" s="8">
        <f t="shared" si="123"/>
        <v>0</v>
      </c>
      <c r="QE10" s="2"/>
      <c r="QF10" s="2"/>
      <c r="QG10" s="24">
        <f t="shared" si="124"/>
        <v>0</v>
      </c>
      <c r="QH10" s="23"/>
      <c r="QI10" s="8">
        <f t="shared" si="125"/>
        <v>0</v>
      </c>
    </row>
    <row r="11" spans="1:451" ht="14.25" customHeight="1" x14ac:dyDescent="0.3">
      <c r="A11" s="5" t="s">
        <v>10</v>
      </c>
      <c r="B11" s="2">
        <v>1</v>
      </c>
      <c r="C11" s="2">
        <v>0</v>
      </c>
      <c r="D11" s="24">
        <f t="shared" si="0"/>
        <v>4</v>
      </c>
      <c r="E11" s="23"/>
      <c r="F11" s="2">
        <v>2</v>
      </c>
      <c r="G11" s="2">
        <v>0</v>
      </c>
      <c r="H11" s="24">
        <f t="shared" si="1"/>
        <v>4</v>
      </c>
      <c r="I11" s="23"/>
      <c r="J11" s="8">
        <f t="shared" si="2"/>
        <v>8</v>
      </c>
      <c r="K11" s="2">
        <v>2</v>
      </c>
      <c r="L11" s="2">
        <v>1</v>
      </c>
      <c r="M11" s="24">
        <f t="shared" si="3"/>
        <v>1</v>
      </c>
      <c r="N11" s="23"/>
      <c r="O11" s="2">
        <v>0</v>
      </c>
      <c r="P11" s="2">
        <v>1</v>
      </c>
      <c r="Q11" s="24">
        <f t="shared" si="4"/>
        <v>1</v>
      </c>
      <c r="R11" s="23"/>
      <c r="S11" s="8">
        <f t="shared" si="5"/>
        <v>2</v>
      </c>
      <c r="T11" s="2">
        <v>1</v>
      </c>
      <c r="U11" s="2">
        <v>2</v>
      </c>
      <c r="V11" s="24">
        <f t="shared" si="6"/>
        <v>1</v>
      </c>
      <c r="W11" s="23"/>
      <c r="X11" s="2">
        <v>2</v>
      </c>
      <c r="Y11" s="2">
        <v>0</v>
      </c>
      <c r="Z11" s="24">
        <f t="shared" si="7"/>
        <v>0</v>
      </c>
      <c r="AA11" s="23"/>
      <c r="AB11" s="2">
        <v>0</v>
      </c>
      <c r="AC11" s="2">
        <v>0</v>
      </c>
      <c r="AD11" s="24">
        <f t="shared" si="8"/>
        <v>1</v>
      </c>
      <c r="AE11" s="23"/>
      <c r="AF11" s="2">
        <v>0</v>
      </c>
      <c r="AG11" s="2">
        <v>1</v>
      </c>
      <c r="AH11" s="24">
        <f t="shared" si="9"/>
        <v>0</v>
      </c>
      <c r="AI11" s="23"/>
      <c r="AJ11" s="8">
        <f t="shared" si="10"/>
        <v>2</v>
      </c>
      <c r="AK11" s="2">
        <v>2</v>
      </c>
      <c r="AL11" s="2">
        <v>0</v>
      </c>
      <c r="AM11" s="24">
        <f t="shared" si="11"/>
        <v>3</v>
      </c>
      <c r="AN11" s="23"/>
      <c r="AO11" s="2">
        <v>1</v>
      </c>
      <c r="AP11" s="2">
        <v>1</v>
      </c>
      <c r="AQ11" s="24">
        <f t="shared" si="12"/>
        <v>3</v>
      </c>
      <c r="AR11" s="23"/>
      <c r="AS11" s="2">
        <v>2</v>
      </c>
      <c r="AT11" s="2">
        <v>0</v>
      </c>
      <c r="AU11" s="24">
        <f t="shared" si="13"/>
        <v>4</v>
      </c>
      <c r="AV11" s="23"/>
      <c r="AW11" s="2">
        <v>2</v>
      </c>
      <c r="AX11" s="2">
        <v>1</v>
      </c>
      <c r="AY11" s="24">
        <f t="shared" si="14"/>
        <v>4</v>
      </c>
      <c r="AZ11" s="23"/>
      <c r="BA11" s="8">
        <f t="shared" si="15"/>
        <v>14</v>
      </c>
      <c r="BB11" s="2">
        <v>2</v>
      </c>
      <c r="BC11" s="2">
        <v>0</v>
      </c>
      <c r="BD11" s="24">
        <f t="shared" si="16"/>
        <v>1</v>
      </c>
      <c r="BE11" s="23"/>
      <c r="BF11" s="2">
        <v>3</v>
      </c>
      <c r="BG11" s="2">
        <v>1</v>
      </c>
      <c r="BH11" s="24">
        <f t="shared" si="17"/>
        <v>1</v>
      </c>
      <c r="BI11" s="23"/>
      <c r="BJ11" s="2">
        <v>1</v>
      </c>
      <c r="BK11" s="2">
        <v>2</v>
      </c>
      <c r="BL11" s="24">
        <f t="shared" si="18"/>
        <v>1</v>
      </c>
      <c r="BM11" s="23"/>
      <c r="BN11" s="2">
        <v>1</v>
      </c>
      <c r="BO11" s="2">
        <v>0</v>
      </c>
      <c r="BP11" s="24">
        <f t="shared" si="19"/>
        <v>0</v>
      </c>
      <c r="BQ11" s="23"/>
      <c r="BR11" s="8">
        <f t="shared" si="20"/>
        <v>3</v>
      </c>
      <c r="BS11" s="2">
        <v>2</v>
      </c>
      <c r="BT11" s="2">
        <v>0</v>
      </c>
      <c r="BU11" s="24">
        <f t="shared" si="21"/>
        <v>3</v>
      </c>
      <c r="BV11" s="23"/>
      <c r="BW11" s="2">
        <v>1</v>
      </c>
      <c r="BX11" s="2">
        <v>1</v>
      </c>
      <c r="BY11" s="24">
        <f t="shared" si="22"/>
        <v>1</v>
      </c>
      <c r="BZ11" s="23"/>
      <c r="CA11" s="2">
        <v>1</v>
      </c>
      <c r="CB11" s="2">
        <v>0</v>
      </c>
      <c r="CC11" s="24">
        <f t="shared" si="23"/>
        <v>4</v>
      </c>
      <c r="CD11" s="23"/>
      <c r="CE11" s="2">
        <v>0</v>
      </c>
      <c r="CF11" s="2">
        <v>0</v>
      </c>
      <c r="CG11" s="24">
        <f t="shared" si="24"/>
        <v>0</v>
      </c>
      <c r="CH11" s="23"/>
      <c r="CI11" s="8">
        <f t="shared" si="25"/>
        <v>8</v>
      </c>
      <c r="CJ11" s="2">
        <v>2</v>
      </c>
      <c r="CK11" s="2">
        <v>0</v>
      </c>
      <c r="CL11" s="24">
        <f t="shared" si="26"/>
        <v>0</v>
      </c>
      <c r="CM11" s="23"/>
      <c r="CN11" s="2">
        <v>0</v>
      </c>
      <c r="CO11" s="2">
        <v>0</v>
      </c>
      <c r="CP11" s="24">
        <f t="shared" si="27"/>
        <v>0</v>
      </c>
      <c r="CQ11" s="23"/>
      <c r="CR11" s="2">
        <v>2</v>
      </c>
      <c r="CS11" s="2">
        <v>0</v>
      </c>
      <c r="CT11" s="24">
        <f t="shared" si="28"/>
        <v>4</v>
      </c>
      <c r="CU11" s="23"/>
      <c r="CV11" s="2">
        <v>0</v>
      </c>
      <c r="CW11" s="2">
        <v>2</v>
      </c>
      <c r="CX11" s="24">
        <f t="shared" si="29"/>
        <v>3</v>
      </c>
      <c r="CY11" s="23"/>
      <c r="CZ11" s="8">
        <f t="shared" si="30"/>
        <v>7</v>
      </c>
      <c r="DA11" s="2">
        <v>3</v>
      </c>
      <c r="DB11" s="2">
        <v>1</v>
      </c>
      <c r="DC11" s="24">
        <f t="shared" si="126"/>
        <v>1</v>
      </c>
      <c r="DD11" s="23"/>
      <c r="DE11" s="2">
        <v>1</v>
      </c>
      <c r="DF11" s="2">
        <v>1</v>
      </c>
      <c r="DG11" s="24">
        <f t="shared" si="127"/>
        <v>1</v>
      </c>
      <c r="DH11" s="23"/>
      <c r="DI11" s="2">
        <v>1</v>
      </c>
      <c r="DJ11" s="2">
        <v>2</v>
      </c>
      <c r="DK11" s="24">
        <f t="shared" si="128"/>
        <v>0</v>
      </c>
      <c r="DL11" s="23"/>
      <c r="DM11" s="2">
        <v>1</v>
      </c>
      <c r="DN11" s="2">
        <v>0</v>
      </c>
      <c r="DO11" s="24">
        <f t="shared" si="129"/>
        <v>5</v>
      </c>
      <c r="DP11" s="23"/>
      <c r="DQ11" s="8">
        <f t="shared" si="31"/>
        <v>7</v>
      </c>
      <c r="DR11" s="2">
        <v>3</v>
      </c>
      <c r="DS11" s="2">
        <v>1</v>
      </c>
      <c r="DT11" s="24">
        <f t="shared" si="130"/>
        <v>3</v>
      </c>
      <c r="DU11" s="23"/>
      <c r="DV11" s="2">
        <v>1</v>
      </c>
      <c r="DW11" s="2">
        <v>1</v>
      </c>
      <c r="DX11" s="24">
        <f t="shared" si="131"/>
        <v>1</v>
      </c>
      <c r="DY11" s="23"/>
      <c r="DZ11" s="2">
        <v>2</v>
      </c>
      <c r="EA11" s="2">
        <v>0</v>
      </c>
      <c r="EB11" s="24">
        <f t="shared" si="132"/>
        <v>4</v>
      </c>
      <c r="EC11" s="23"/>
      <c r="ED11" s="2">
        <v>2</v>
      </c>
      <c r="EE11" s="2">
        <v>1</v>
      </c>
      <c r="EF11" s="24">
        <f t="shared" si="133"/>
        <v>1</v>
      </c>
      <c r="EG11" s="23"/>
      <c r="EH11" s="8">
        <f t="shared" si="32"/>
        <v>9</v>
      </c>
      <c r="EI11" s="2">
        <v>2</v>
      </c>
      <c r="EJ11" s="2">
        <v>1</v>
      </c>
      <c r="EK11" s="24">
        <f t="shared" si="33"/>
        <v>4</v>
      </c>
      <c r="EL11" s="23"/>
      <c r="EM11" s="2">
        <v>2</v>
      </c>
      <c r="EN11" s="2">
        <v>0</v>
      </c>
      <c r="EO11" s="24">
        <f t="shared" si="34"/>
        <v>4</v>
      </c>
      <c r="EP11" s="23"/>
      <c r="EQ11" s="2">
        <v>1</v>
      </c>
      <c r="ER11" s="2">
        <v>0</v>
      </c>
      <c r="ES11" s="24">
        <f t="shared" si="35"/>
        <v>1</v>
      </c>
      <c r="ET11" s="23"/>
      <c r="EU11" s="2">
        <v>1</v>
      </c>
      <c r="EV11" s="2">
        <v>2</v>
      </c>
      <c r="EW11" s="24">
        <f t="shared" si="36"/>
        <v>3</v>
      </c>
      <c r="EX11" s="23"/>
      <c r="EY11" s="8">
        <f t="shared" si="37"/>
        <v>12</v>
      </c>
      <c r="EZ11" s="2">
        <v>1</v>
      </c>
      <c r="FA11" s="2">
        <v>0</v>
      </c>
      <c r="FB11" s="24"/>
      <c r="FC11" s="23"/>
      <c r="FD11" s="2">
        <v>2</v>
      </c>
      <c r="FE11" s="2">
        <v>1</v>
      </c>
      <c r="FF11" s="24"/>
      <c r="FG11" s="23"/>
      <c r="FH11" s="2">
        <v>2</v>
      </c>
      <c r="FI11" s="2">
        <v>0</v>
      </c>
      <c r="FJ11" s="24"/>
      <c r="FK11" s="23"/>
      <c r="FL11" s="2">
        <v>1</v>
      </c>
      <c r="FM11" s="2">
        <v>1</v>
      </c>
      <c r="FN11" s="24"/>
      <c r="FO11" s="23"/>
      <c r="FP11" s="8">
        <f t="shared" si="38"/>
        <v>0</v>
      </c>
      <c r="FQ11" s="2"/>
      <c r="FR11" s="2"/>
      <c r="FS11" s="24">
        <f t="shared" si="39"/>
        <v>0</v>
      </c>
      <c r="FT11" s="23"/>
      <c r="FU11" s="2"/>
      <c r="FV11" s="2"/>
      <c r="FW11" s="24">
        <f t="shared" si="40"/>
        <v>0</v>
      </c>
      <c r="FX11" s="23"/>
      <c r="FY11" s="2"/>
      <c r="FZ11" s="2"/>
      <c r="GA11" s="24">
        <f t="shared" si="41"/>
        <v>0</v>
      </c>
      <c r="GB11" s="23"/>
      <c r="GC11" s="2"/>
      <c r="GD11" s="2"/>
      <c r="GE11" s="24">
        <f t="shared" si="42"/>
        <v>0</v>
      </c>
      <c r="GF11" s="23"/>
      <c r="GG11" s="8">
        <f t="shared" si="43"/>
        <v>0</v>
      </c>
      <c r="GH11" s="2"/>
      <c r="GI11" s="2"/>
      <c r="GJ11" s="24">
        <f t="shared" si="44"/>
        <v>0</v>
      </c>
      <c r="GK11" s="23"/>
      <c r="GL11" s="2"/>
      <c r="GM11" s="2"/>
      <c r="GN11" s="24">
        <f t="shared" si="45"/>
        <v>0</v>
      </c>
      <c r="GO11" s="23"/>
      <c r="GP11" s="2"/>
      <c r="GQ11" s="2"/>
      <c r="GR11" s="24">
        <f t="shared" si="46"/>
        <v>0</v>
      </c>
      <c r="GS11" s="23"/>
      <c r="GT11" s="2"/>
      <c r="GU11" s="2"/>
      <c r="GV11" s="24">
        <f t="shared" si="47"/>
        <v>0</v>
      </c>
      <c r="GW11" s="23"/>
      <c r="GX11" s="8">
        <f t="shared" si="48"/>
        <v>0</v>
      </c>
      <c r="GY11" s="2"/>
      <c r="GZ11" s="2"/>
      <c r="HA11" s="24">
        <f t="shared" si="49"/>
        <v>0</v>
      </c>
      <c r="HB11" s="23"/>
      <c r="HC11" s="2"/>
      <c r="HD11" s="2"/>
      <c r="HE11" s="24">
        <f t="shared" si="50"/>
        <v>0</v>
      </c>
      <c r="HF11" s="23"/>
      <c r="HG11" s="2"/>
      <c r="HH11" s="2"/>
      <c r="HI11" s="24">
        <f t="shared" si="51"/>
        <v>0</v>
      </c>
      <c r="HJ11" s="23"/>
      <c r="HK11" s="2"/>
      <c r="HL11" s="2"/>
      <c r="HM11" s="24">
        <f t="shared" si="52"/>
        <v>0</v>
      </c>
      <c r="HN11" s="23"/>
      <c r="HO11" s="2"/>
      <c r="HP11" s="2"/>
      <c r="HQ11" s="24">
        <f t="shared" si="53"/>
        <v>0</v>
      </c>
      <c r="HR11" s="23"/>
      <c r="HS11" s="2"/>
      <c r="HT11" s="2"/>
      <c r="HU11" s="24">
        <f t="shared" si="54"/>
        <v>0</v>
      </c>
      <c r="HV11" s="23"/>
      <c r="HW11" s="8">
        <f t="shared" si="55"/>
        <v>0</v>
      </c>
      <c r="HX11" s="2"/>
      <c r="HY11" s="2"/>
      <c r="HZ11" s="24">
        <f t="shared" si="56"/>
        <v>0</v>
      </c>
      <c r="IA11" s="23"/>
      <c r="IB11" s="2"/>
      <c r="IC11" s="2"/>
      <c r="ID11" s="24">
        <f t="shared" si="57"/>
        <v>0</v>
      </c>
      <c r="IE11" s="23"/>
      <c r="IF11" s="2"/>
      <c r="IG11" s="2"/>
      <c r="IH11" s="24">
        <f t="shared" si="58"/>
        <v>0</v>
      </c>
      <c r="II11" s="23"/>
      <c r="IJ11" s="2"/>
      <c r="IK11" s="2"/>
      <c r="IL11" s="24">
        <f t="shared" si="59"/>
        <v>0</v>
      </c>
      <c r="IM11" s="23"/>
      <c r="IN11" s="2"/>
      <c r="IO11" s="2"/>
      <c r="IP11" s="24">
        <f t="shared" si="60"/>
        <v>0</v>
      </c>
      <c r="IQ11" s="23"/>
      <c r="IR11" s="2"/>
      <c r="IS11" s="2"/>
      <c r="IT11" s="24">
        <f t="shared" si="61"/>
        <v>0</v>
      </c>
      <c r="IU11" s="23"/>
      <c r="IV11" s="8">
        <f t="shared" si="62"/>
        <v>0</v>
      </c>
      <c r="IW11" s="2"/>
      <c r="IX11" s="2"/>
      <c r="IY11" s="24">
        <f t="shared" si="63"/>
        <v>0</v>
      </c>
      <c r="IZ11" s="23"/>
      <c r="JA11" s="2"/>
      <c r="JB11" s="2"/>
      <c r="JC11" s="24">
        <f t="shared" si="64"/>
        <v>0</v>
      </c>
      <c r="JD11" s="23"/>
      <c r="JE11" s="2"/>
      <c r="JF11" s="2"/>
      <c r="JG11" s="24">
        <f t="shared" si="65"/>
        <v>0</v>
      </c>
      <c r="JH11" s="23"/>
      <c r="JI11" s="2"/>
      <c r="JJ11" s="2"/>
      <c r="JK11" s="24">
        <f t="shared" si="66"/>
        <v>0</v>
      </c>
      <c r="JL11" s="23"/>
      <c r="JM11" s="2"/>
      <c r="JN11" s="2"/>
      <c r="JO11" s="24">
        <f t="shared" si="67"/>
        <v>0</v>
      </c>
      <c r="JP11" s="23"/>
      <c r="JQ11" s="2"/>
      <c r="JR11" s="2"/>
      <c r="JS11" s="24">
        <f t="shared" si="68"/>
        <v>0</v>
      </c>
      <c r="JT11" s="23"/>
      <c r="JU11" s="8">
        <f t="shared" si="69"/>
        <v>0</v>
      </c>
      <c r="JV11" s="2"/>
      <c r="JW11" s="2"/>
      <c r="JX11" s="24">
        <f t="shared" si="70"/>
        <v>0</v>
      </c>
      <c r="JY11" s="23"/>
      <c r="JZ11" s="2"/>
      <c r="KA11" s="2"/>
      <c r="KB11" s="24">
        <f t="shared" si="71"/>
        <v>0</v>
      </c>
      <c r="KC11" s="23"/>
      <c r="KD11" s="2"/>
      <c r="KE11" s="2"/>
      <c r="KF11" s="24">
        <f t="shared" si="72"/>
        <v>0</v>
      </c>
      <c r="KG11" s="23"/>
      <c r="KH11" s="2"/>
      <c r="KI11" s="2"/>
      <c r="KJ11" s="24">
        <f t="shared" si="73"/>
        <v>0</v>
      </c>
      <c r="KK11" s="23"/>
      <c r="KL11" s="2"/>
      <c r="KM11" s="2"/>
      <c r="KN11" s="24">
        <f t="shared" si="74"/>
        <v>0</v>
      </c>
      <c r="KO11" s="23"/>
      <c r="KP11" s="2"/>
      <c r="KQ11" s="2"/>
      <c r="KR11" s="24">
        <f t="shared" si="75"/>
        <v>0</v>
      </c>
      <c r="KS11" s="23"/>
      <c r="KT11" s="8">
        <f t="shared" si="76"/>
        <v>0</v>
      </c>
      <c r="KU11" s="2"/>
      <c r="KV11" s="2"/>
      <c r="KW11" s="24">
        <f t="shared" si="77"/>
        <v>0</v>
      </c>
      <c r="KX11" s="23"/>
      <c r="KY11" s="8">
        <f t="shared" si="78"/>
        <v>0</v>
      </c>
      <c r="KZ11" s="2"/>
      <c r="LA11" s="2"/>
      <c r="LB11" s="24">
        <f t="shared" si="79"/>
        <v>0</v>
      </c>
      <c r="LC11" s="23"/>
      <c r="LD11" s="2"/>
      <c r="LE11" s="2"/>
      <c r="LF11" s="24">
        <f t="shared" si="80"/>
        <v>0</v>
      </c>
      <c r="LG11" s="23"/>
      <c r="LH11" s="2"/>
      <c r="LI11" s="2"/>
      <c r="LJ11" s="24">
        <f t="shared" si="81"/>
        <v>0</v>
      </c>
      <c r="LK11" s="23"/>
      <c r="LL11" s="8">
        <f t="shared" si="82"/>
        <v>0</v>
      </c>
      <c r="LM11" s="2"/>
      <c r="LN11" s="2"/>
      <c r="LO11" s="24">
        <f t="shared" si="83"/>
        <v>0</v>
      </c>
      <c r="LP11" s="23"/>
      <c r="LQ11" s="2"/>
      <c r="LR11" s="2"/>
      <c r="LS11" s="24">
        <f t="shared" si="84"/>
        <v>0</v>
      </c>
      <c r="LT11" s="23"/>
      <c r="LU11" s="2"/>
      <c r="LV11" s="2"/>
      <c r="LW11" s="24">
        <f t="shared" si="85"/>
        <v>0</v>
      </c>
      <c r="LX11" s="23"/>
      <c r="LY11" s="8">
        <f t="shared" si="86"/>
        <v>0</v>
      </c>
      <c r="LZ11" s="2"/>
      <c r="MA11" s="2"/>
      <c r="MB11" s="24">
        <f t="shared" si="87"/>
        <v>0</v>
      </c>
      <c r="MC11" s="23"/>
      <c r="MD11" s="2"/>
      <c r="ME11" s="2"/>
      <c r="MF11" s="24">
        <f t="shared" si="88"/>
        <v>0</v>
      </c>
      <c r="MG11" s="23"/>
      <c r="MH11" s="2"/>
      <c r="MI11" s="2"/>
      <c r="MJ11" s="24">
        <f t="shared" si="89"/>
        <v>0</v>
      </c>
      <c r="MK11" s="23"/>
      <c r="ML11" s="8">
        <f t="shared" si="90"/>
        <v>0</v>
      </c>
      <c r="MM11" s="2"/>
      <c r="MN11" s="2"/>
      <c r="MO11" s="24">
        <f t="shared" si="91"/>
        <v>0</v>
      </c>
      <c r="MP11" s="23"/>
      <c r="MQ11" s="2"/>
      <c r="MR11" s="2"/>
      <c r="MS11" s="24">
        <f t="shared" si="92"/>
        <v>0</v>
      </c>
      <c r="MT11" s="23"/>
      <c r="MU11" s="2"/>
      <c r="MV11" s="2"/>
      <c r="MW11" s="24">
        <f t="shared" si="93"/>
        <v>0</v>
      </c>
      <c r="MX11" s="23"/>
      <c r="MY11" s="8">
        <f t="shared" si="94"/>
        <v>0</v>
      </c>
      <c r="MZ11" s="2"/>
      <c r="NA11" s="2"/>
      <c r="NB11" s="24">
        <f t="shared" si="95"/>
        <v>0</v>
      </c>
      <c r="NC11" s="23"/>
      <c r="ND11" s="2"/>
      <c r="NE11" s="2"/>
      <c r="NF11" s="24">
        <f t="shared" si="96"/>
        <v>0</v>
      </c>
      <c r="NG11" s="23"/>
      <c r="NH11" s="2"/>
      <c r="NI11" s="2"/>
      <c r="NJ11" s="24">
        <f t="shared" si="97"/>
        <v>0</v>
      </c>
      <c r="NK11" s="23"/>
      <c r="NL11" s="8">
        <f t="shared" si="98"/>
        <v>0</v>
      </c>
      <c r="NM11" s="2"/>
      <c r="NN11" s="2"/>
      <c r="NO11" s="24">
        <f t="shared" si="99"/>
        <v>0</v>
      </c>
      <c r="NP11" s="23"/>
      <c r="NQ11" s="2"/>
      <c r="NR11" s="2"/>
      <c r="NS11" s="24">
        <f t="shared" si="100"/>
        <v>0</v>
      </c>
      <c r="NT11" s="23"/>
      <c r="NU11" s="8">
        <f t="shared" si="101"/>
        <v>0</v>
      </c>
      <c r="NV11" s="2"/>
      <c r="NW11" s="2"/>
      <c r="NX11" s="24">
        <f t="shared" si="102"/>
        <v>0</v>
      </c>
      <c r="NY11" s="23"/>
      <c r="NZ11" s="2"/>
      <c r="OA11" s="2"/>
      <c r="OB11" s="24">
        <f t="shared" si="103"/>
        <v>0</v>
      </c>
      <c r="OC11" s="23"/>
      <c r="OD11" s="8">
        <f t="shared" si="104"/>
        <v>0</v>
      </c>
      <c r="OE11" s="2"/>
      <c r="OF11" s="2"/>
      <c r="OG11" s="24">
        <f t="shared" si="105"/>
        <v>0</v>
      </c>
      <c r="OH11" s="23"/>
      <c r="OI11" s="2"/>
      <c r="OJ11" s="2"/>
      <c r="OK11" s="24">
        <f t="shared" si="106"/>
        <v>0</v>
      </c>
      <c r="OL11" s="23"/>
      <c r="OM11" s="8">
        <f t="shared" si="107"/>
        <v>0</v>
      </c>
      <c r="ON11" s="2"/>
      <c r="OO11" s="2"/>
      <c r="OP11" s="24">
        <f t="shared" si="108"/>
        <v>0</v>
      </c>
      <c r="OQ11" s="23"/>
      <c r="OR11" s="2"/>
      <c r="OS11" s="2"/>
      <c r="OT11" s="24">
        <f t="shared" si="109"/>
        <v>0</v>
      </c>
      <c r="OU11" s="23"/>
      <c r="OV11" s="8">
        <f t="shared" si="110"/>
        <v>0</v>
      </c>
      <c r="OW11" s="2"/>
      <c r="OX11" s="2"/>
      <c r="OY11" s="24">
        <f t="shared" si="111"/>
        <v>0</v>
      </c>
      <c r="OZ11" s="23"/>
      <c r="PA11" s="8">
        <f t="shared" si="112"/>
        <v>0</v>
      </c>
      <c r="PB11" s="2"/>
      <c r="PC11" s="2"/>
      <c r="PD11" s="24">
        <f t="shared" si="113"/>
        <v>0</v>
      </c>
      <c r="PE11" s="23"/>
      <c r="PF11" s="8">
        <f t="shared" si="114"/>
        <v>0</v>
      </c>
      <c r="PG11" s="2"/>
      <c r="PH11" s="2"/>
      <c r="PI11" s="24">
        <f t="shared" si="115"/>
        <v>0</v>
      </c>
      <c r="PJ11" s="23"/>
      <c r="PK11" s="2"/>
      <c r="PL11" s="2"/>
      <c r="PM11" s="24">
        <f t="shared" si="116"/>
        <v>0</v>
      </c>
      <c r="PN11" s="23"/>
      <c r="PO11" s="8">
        <f t="shared" si="117"/>
        <v>0</v>
      </c>
      <c r="PP11" s="2"/>
      <c r="PQ11" s="2"/>
      <c r="PR11" s="24">
        <f t="shared" si="118"/>
        <v>0</v>
      </c>
      <c r="PS11" s="23"/>
      <c r="PT11" s="8">
        <f t="shared" si="119"/>
        <v>0</v>
      </c>
      <c r="PU11" s="2"/>
      <c r="PV11" s="2"/>
      <c r="PW11" s="24">
        <f t="shared" si="120"/>
        <v>0</v>
      </c>
      <c r="PX11" s="23"/>
      <c r="PY11" s="8">
        <f t="shared" si="121"/>
        <v>0</v>
      </c>
      <c r="PZ11" s="2"/>
      <c r="QA11" s="2"/>
      <c r="QB11" s="24">
        <f t="shared" si="122"/>
        <v>0</v>
      </c>
      <c r="QC11" s="23"/>
      <c r="QD11" s="8">
        <f t="shared" si="123"/>
        <v>0</v>
      </c>
      <c r="QE11" s="2"/>
      <c r="QF11" s="2"/>
      <c r="QG11" s="24">
        <f t="shared" si="124"/>
        <v>0</v>
      </c>
      <c r="QH11" s="23"/>
      <c r="QI11" s="8">
        <f t="shared" si="125"/>
        <v>0</v>
      </c>
    </row>
    <row r="12" spans="1:451" ht="14.25" customHeight="1" x14ac:dyDescent="0.3">
      <c r="A12" s="5" t="s">
        <v>11</v>
      </c>
      <c r="B12" s="2">
        <v>1</v>
      </c>
      <c r="C12" s="2">
        <v>0</v>
      </c>
      <c r="D12" s="24">
        <f t="shared" si="0"/>
        <v>4</v>
      </c>
      <c r="E12" s="23"/>
      <c r="F12" s="2">
        <v>1</v>
      </c>
      <c r="G12" s="2">
        <v>1</v>
      </c>
      <c r="H12" s="24">
        <f t="shared" si="1"/>
        <v>1</v>
      </c>
      <c r="I12" s="23"/>
      <c r="J12" s="8">
        <f t="shared" si="2"/>
        <v>5</v>
      </c>
      <c r="K12" s="2">
        <v>2</v>
      </c>
      <c r="L12" s="2">
        <v>0</v>
      </c>
      <c r="M12" s="24">
        <f t="shared" si="3"/>
        <v>0</v>
      </c>
      <c r="N12" s="23"/>
      <c r="O12" s="2">
        <v>1</v>
      </c>
      <c r="P12" s="2">
        <v>1</v>
      </c>
      <c r="Q12" s="24">
        <f t="shared" si="4"/>
        <v>1</v>
      </c>
      <c r="R12" s="23"/>
      <c r="S12" s="8">
        <f t="shared" si="5"/>
        <v>1</v>
      </c>
      <c r="T12" s="2">
        <v>1</v>
      </c>
      <c r="U12" s="2">
        <v>2</v>
      </c>
      <c r="V12" s="24">
        <f t="shared" si="6"/>
        <v>1</v>
      </c>
      <c r="W12" s="23"/>
      <c r="X12" s="2">
        <v>2</v>
      </c>
      <c r="Y12" s="2">
        <v>1</v>
      </c>
      <c r="Z12" s="24">
        <f t="shared" si="7"/>
        <v>1</v>
      </c>
      <c r="AA12" s="23"/>
      <c r="AB12" s="2">
        <v>0</v>
      </c>
      <c r="AC12" s="2">
        <v>1</v>
      </c>
      <c r="AD12" s="24">
        <f t="shared" si="8"/>
        <v>5</v>
      </c>
      <c r="AE12" s="23"/>
      <c r="AF12" s="2">
        <v>1</v>
      </c>
      <c r="AG12" s="2">
        <v>1</v>
      </c>
      <c r="AH12" s="24">
        <f t="shared" si="9"/>
        <v>0</v>
      </c>
      <c r="AI12" s="23"/>
      <c r="AJ12" s="8">
        <f t="shared" si="10"/>
        <v>7</v>
      </c>
      <c r="AK12" s="2">
        <v>3</v>
      </c>
      <c r="AL12" s="2">
        <v>0</v>
      </c>
      <c r="AM12" s="24">
        <f t="shared" si="11"/>
        <v>3</v>
      </c>
      <c r="AN12" s="23"/>
      <c r="AO12" s="2">
        <v>2</v>
      </c>
      <c r="AP12" s="2">
        <v>1</v>
      </c>
      <c r="AQ12" s="24">
        <f t="shared" si="12"/>
        <v>1</v>
      </c>
      <c r="AR12" s="23"/>
      <c r="AS12" s="2">
        <v>2</v>
      </c>
      <c r="AT12" s="2">
        <v>1</v>
      </c>
      <c r="AU12" s="24">
        <f t="shared" si="13"/>
        <v>3</v>
      </c>
      <c r="AV12" s="23"/>
      <c r="AW12" s="2">
        <v>1</v>
      </c>
      <c r="AX12" s="2">
        <v>1</v>
      </c>
      <c r="AY12" s="24">
        <f t="shared" si="14"/>
        <v>1</v>
      </c>
      <c r="AZ12" s="23"/>
      <c r="BA12" s="8">
        <f t="shared" si="15"/>
        <v>8</v>
      </c>
      <c r="BB12" s="2">
        <v>3</v>
      </c>
      <c r="BC12" s="2">
        <v>0</v>
      </c>
      <c r="BD12" s="24">
        <f t="shared" si="16"/>
        <v>1</v>
      </c>
      <c r="BE12" s="23"/>
      <c r="BF12" s="2">
        <v>2</v>
      </c>
      <c r="BG12" s="2">
        <v>1</v>
      </c>
      <c r="BH12" s="24">
        <f t="shared" si="17"/>
        <v>1</v>
      </c>
      <c r="BI12" s="23"/>
      <c r="BJ12" s="2">
        <v>1</v>
      </c>
      <c r="BK12" s="2">
        <v>2</v>
      </c>
      <c r="BL12" s="24">
        <f t="shared" si="18"/>
        <v>1</v>
      </c>
      <c r="BM12" s="23"/>
      <c r="BN12" s="2">
        <v>1</v>
      </c>
      <c r="BO12" s="2">
        <v>1</v>
      </c>
      <c r="BP12" s="24">
        <f t="shared" si="19"/>
        <v>3</v>
      </c>
      <c r="BQ12" s="23"/>
      <c r="BR12" s="8">
        <f t="shared" si="20"/>
        <v>6</v>
      </c>
      <c r="BS12" s="2">
        <v>3</v>
      </c>
      <c r="BT12" s="2">
        <v>1</v>
      </c>
      <c r="BU12" s="24">
        <f t="shared" si="21"/>
        <v>5</v>
      </c>
      <c r="BV12" s="23"/>
      <c r="BW12" s="2">
        <v>1</v>
      </c>
      <c r="BX12" s="2">
        <v>3</v>
      </c>
      <c r="BY12" s="24">
        <f t="shared" si="22"/>
        <v>4</v>
      </c>
      <c r="BZ12" s="23"/>
      <c r="CA12" s="2">
        <v>3</v>
      </c>
      <c r="CB12" s="2">
        <v>0</v>
      </c>
      <c r="CC12" s="24">
        <f t="shared" si="23"/>
        <v>5</v>
      </c>
      <c r="CD12" s="23"/>
      <c r="CE12" s="2">
        <v>2</v>
      </c>
      <c r="CF12" s="2">
        <v>1</v>
      </c>
      <c r="CG12" s="24">
        <f t="shared" si="24"/>
        <v>4</v>
      </c>
      <c r="CH12" s="23"/>
      <c r="CI12" s="8">
        <f t="shared" si="25"/>
        <v>18</v>
      </c>
      <c r="CJ12" s="2">
        <v>3</v>
      </c>
      <c r="CK12" s="2">
        <v>1</v>
      </c>
      <c r="CL12" s="24">
        <f t="shared" si="26"/>
        <v>1</v>
      </c>
      <c r="CM12" s="23"/>
      <c r="CN12" s="2">
        <v>2</v>
      </c>
      <c r="CO12" s="2">
        <v>2</v>
      </c>
      <c r="CP12" s="24">
        <f t="shared" si="27"/>
        <v>1</v>
      </c>
      <c r="CQ12" s="23"/>
      <c r="CR12" s="2">
        <v>1</v>
      </c>
      <c r="CS12" s="2">
        <v>1</v>
      </c>
      <c r="CT12" s="24">
        <f t="shared" si="28"/>
        <v>1</v>
      </c>
      <c r="CU12" s="23"/>
      <c r="CV12" s="2">
        <v>0</v>
      </c>
      <c r="CW12" s="2">
        <v>3</v>
      </c>
      <c r="CX12" s="24">
        <f t="shared" si="29"/>
        <v>4</v>
      </c>
      <c r="CY12" s="23"/>
      <c r="CZ12" s="8">
        <f t="shared" si="30"/>
        <v>7</v>
      </c>
      <c r="DA12" s="2">
        <v>2</v>
      </c>
      <c r="DB12" s="2">
        <v>0</v>
      </c>
      <c r="DC12" s="24">
        <f t="shared" si="126"/>
        <v>0</v>
      </c>
      <c r="DD12" s="23"/>
      <c r="DE12" s="2">
        <v>2</v>
      </c>
      <c r="DF12" s="2">
        <v>1</v>
      </c>
      <c r="DG12" s="24">
        <f t="shared" si="127"/>
        <v>4</v>
      </c>
      <c r="DH12" s="23"/>
      <c r="DI12" s="2">
        <v>2</v>
      </c>
      <c r="DJ12" s="2">
        <v>1</v>
      </c>
      <c r="DK12" s="24">
        <f t="shared" si="128"/>
        <v>3</v>
      </c>
      <c r="DL12" s="23"/>
      <c r="DM12" s="2">
        <v>1</v>
      </c>
      <c r="DN12" s="2">
        <v>2</v>
      </c>
      <c r="DO12" s="24">
        <f t="shared" si="129"/>
        <v>1</v>
      </c>
      <c r="DP12" s="23"/>
      <c r="DQ12" s="8">
        <f t="shared" si="31"/>
        <v>8</v>
      </c>
      <c r="DR12" s="2">
        <v>2</v>
      </c>
      <c r="DS12" s="2">
        <v>1</v>
      </c>
      <c r="DT12" s="24">
        <f t="shared" si="130"/>
        <v>4</v>
      </c>
      <c r="DU12" s="23"/>
      <c r="DV12" s="2">
        <v>1</v>
      </c>
      <c r="DW12" s="2">
        <v>2</v>
      </c>
      <c r="DX12" s="24">
        <f t="shared" si="131"/>
        <v>3</v>
      </c>
      <c r="DY12" s="23"/>
      <c r="DZ12" s="2">
        <v>2</v>
      </c>
      <c r="EA12" s="2">
        <v>0</v>
      </c>
      <c r="EB12" s="24">
        <f t="shared" si="132"/>
        <v>4</v>
      </c>
      <c r="EC12" s="23"/>
      <c r="ED12" s="2">
        <v>2</v>
      </c>
      <c r="EE12" s="2">
        <v>2</v>
      </c>
      <c r="EF12" s="24">
        <f t="shared" si="133"/>
        <v>0</v>
      </c>
      <c r="EG12" s="23"/>
      <c r="EH12" s="8">
        <f t="shared" si="32"/>
        <v>11</v>
      </c>
      <c r="EI12" s="2">
        <v>2</v>
      </c>
      <c r="EJ12" s="2">
        <v>1</v>
      </c>
      <c r="EK12" s="24">
        <f t="shared" si="33"/>
        <v>4</v>
      </c>
      <c r="EL12" s="23"/>
      <c r="EM12" s="2">
        <v>3</v>
      </c>
      <c r="EN12" s="2">
        <v>0</v>
      </c>
      <c r="EO12" s="24">
        <f t="shared" si="34"/>
        <v>3</v>
      </c>
      <c r="EP12" s="23"/>
      <c r="EQ12" s="2">
        <v>2</v>
      </c>
      <c r="ER12" s="2">
        <v>0</v>
      </c>
      <c r="ES12" s="24">
        <f t="shared" si="35"/>
        <v>1</v>
      </c>
      <c r="ET12" s="23"/>
      <c r="EU12" s="2">
        <v>1</v>
      </c>
      <c r="EV12" s="2">
        <v>3</v>
      </c>
      <c r="EW12" s="24">
        <f t="shared" si="36"/>
        <v>3</v>
      </c>
      <c r="EX12" s="23"/>
      <c r="EY12" s="8">
        <f t="shared" si="37"/>
        <v>11</v>
      </c>
      <c r="EZ12" s="2">
        <v>2</v>
      </c>
      <c r="FA12" s="2">
        <v>0</v>
      </c>
      <c r="FB12" s="24"/>
      <c r="FC12" s="23"/>
      <c r="FD12" s="2">
        <v>2</v>
      </c>
      <c r="FE12" s="2">
        <v>0</v>
      </c>
      <c r="FF12" s="24"/>
      <c r="FG12" s="23"/>
      <c r="FH12" s="2">
        <v>3</v>
      </c>
      <c r="FI12" s="2">
        <v>0</v>
      </c>
      <c r="FJ12" s="24"/>
      <c r="FK12" s="23"/>
      <c r="FL12" s="2">
        <v>1</v>
      </c>
      <c r="FM12" s="2">
        <v>2</v>
      </c>
      <c r="FN12" s="24"/>
      <c r="FO12" s="23"/>
      <c r="FP12" s="8">
        <f t="shared" si="38"/>
        <v>0</v>
      </c>
      <c r="FQ12" s="2"/>
      <c r="FR12" s="2"/>
      <c r="FS12" s="24">
        <f t="shared" si="39"/>
        <v>0</v>
      </c>
      <c r="FT12" s="23"/>
      <c r="FU12" s="2"/>
      <c r="FV12" s="2"/>
      <c r="FW12" s="24">
        <f t="shared" si="40"/>
        <v>0</v>
      </c>
      <c r="FX12" s="23"/>
      <c r="FY12" s="2"/>
      <c r="FZ12" s="2"/>
      <c r="GA12" s="24">
        <f t="shared" si="41"/>
        <v>0</v>
      </c>
      <c r="GB12" s="23"/>
      <c r="GC12" s="2"/>
      <c r="GD12" s="2"/>
      <c r="GE12" s="24">
        <f t="shared" si="42"/>
        <v>0</v>
      </c>
      <c r="GF12" s="23"/>
      <c r="GG12" s="8">
        <f t="shared" si="43"/>
        <v>0</v>
      </c>
      <c r="GH12" s="2"/>
      <c r="GI12" s="2"/>
      <c r="GJ12" s="24">
        <f t="shared" si="44"/>
        <v>0</v>
      </c>
      <c r="GK12" s="23"/>
      <c r="GL12" s="2"/>
      <c r="GM12" s="2"/>
      <c r="GN12" s="24">
        <f t="shared" si="45"/>
        <v>0</v>
      </c>
      <c r="GO12" s="23"/>
      <c r="GP12" s="2"/>
      <c r="GQ12" s="2"/>
      <c r="GR12" s="24">
        <f t="shared" si="46"/>
        <v>0</v>
      </c>
      <c r="GS12" s="23"/>
      <c r="GT12" s="2"/>
      <c r="GU12" s="2"/>
      <c r="GV12" s="24">
        <f t="shared" si="47"/>
        <v>0</v>
      </c>
      <c r="GW12" s="23"/>
      <c r="GX12" s="8">
        <f t="shared" si="48"/>
        <v>0</v>
      </c>
      <c r="GY12" s="2"/>
      <c r="GZ12" s="2"/>
      <c r="HA12" s="24">
        <f t="shared" si="49"/>
        <v>0</v>
      </c>
      <c r="HB12" s="23"/>
      <c r="HC12" s="2"/>
      <c r="HD12" s="2"/>
      <c r="HE12" s="24">
        <f t="shared" si="50"/>
        <v>0</v>
      </c>
      <c r="HF12" s="23"/>
      <c r="HG12" s="2"/>
      <c r="HH12" s="2"/>
      <c r="HI12" s="24">
        <f t="shared" si="51"/>
        <v>0</v>
      </c>
      <c r="HJ12" s="23"/>
      <c r="HK12" s="2"/>
      <c r="HL12" s="2"/>
      <c r="HM12" s="24">
        <f t="shared" si="52"/>
        <v>0</v>
      </c>
      <c r="HN12" s="23"/>
      <c r="HO12" s="2"/>
      <c r="HP12" s="2"/>
      <c r="HQ12" s="24">
        <f t="shared" si="53"/>
        <v>0</v>
      </c>
      <c r="HR12" s="23"/>
      <c r="HS12" s="2"/>
      <c r="HT12" s="2"/>
      <c r="HU12" s="24">
        <f t="shared" si="54"/>
        <v>0</v>
      </c>
      <c r="HV12" s="23"/>
      <c r="HW12" s="8">
        <f t="shared" si="55"/>
        <v>0</v>
      </c>
      <c r="HX12" s="2"/>
      <c r="HY12" s="2"/>
      <c r="HZ12" s="24">
        <f t="shared" si="56"/>
        <v>0</v>
      </c>
      <c r="IA12" s="23"/>
      <c r="IB12" s="2"/>
      <c r="IC12" s="2"/>
      <c r="ID12" s="24">
        <f t="shared" si="57"/>
        <v>0</v>
      </c>
      <c r="IE12" s="23"/>
      <c r="IF12" s="2"/>
      <c r="IG12" s="2"/>
      <c r="IH12" s="24">
        <f t="shared" si="58"/>
        <v>0</v>
      </c>
      <c r="II12" s="23"/>
      <c r="IJ12" s="2"/>
      <c r="IK12" s="2"/>
      <c r="IL12" s="24">
        <f t="shared" si="59"/>
        <v>0</v>
      </c>
      <c r="IM12" s="23"/>
      <c r="IN12" s="2"/>
      <c r="IO12" s="2"/>
      <c r="IP12" s="24">
        <f t="shared" si="60"/>
        <v>0</v>
      </c>
      <c r="IQ12" s="23"/>
      <c r="IR12" s="2"/>
      <c r="IS12" s="2"/>
      <c r="IT12" s="24">
        <f t="shared" si="61"/>
        <v>0</v>
      </c>
      <c r="IU12" s="23"/>
      <c r="IV12" s="8">
        <f t="shared" si="62"/>
        <v>0</v>
      </c>
      <c r="IW12" s="2"/>
      <c r="IX12" s="2"/>
      <c r="IY12" s="24">
        <f t="shared" si="63"/>
        <v>0</v>
      </c>
      <c r="IZ12" s="23"/>
      <c r="JA12" s="2"/>
      <c r="JB12" s="2"/>
      <c r="JC12" s="24">
        <f t="shared" si="64"/>
        <v>0</v>
      </c>
      <c r="JD12" s="23"/>
      <c r="JE12" s="2"/>
      <c r="JF12" s="2"/>
      <c r="JG12" s="24">
        <f t="shared" si="65"/>
        <v>0</v>
      </c>
      <c r="JH12" s="23"/>
      <c r="JI12" s="2"/>
      <c r="JJ12" s="2"/>
      <c r="JK12" s="24">
        <f t="shared" si="66"/>
        <v>0</v>
      </c>
      <c r="JL12" s="23"/>
      <c r="JM12" s="2"/>
      <c r="JN12" s="2"/>
      <c r="JO12" s="24">
        <f t="shared" si="67"/>
        <v>0</v>
      </c>
      <c r="JP12" s="23"/>
      <c r="JQ12" s="2"/>
      <c r="JR12" s="2"/>
      <c r="JS12" s="24">
        <f t="shared" si="68"/>
        <v>0</v>
      </c>
      <c r="JT12" s="23"/>
      <c r="JU12" s="8">
        <f t="shared" si="69"/>
        <v>0</v>
      </c>
      <c r="JV12" s="2"/>
      <c r="JW12" s="2"/>
      <c r="JX12" s="24">
        <f t="shared" si="70"/>
        <v>0</v>
      </c>
      <c r="JY12" s="23"/>
      <c r="JZ12" s="2"/>
      <c r="KA12" s="2"/>
      <c r="KB12" s="24">
        <f t="shared" si="71"/>
        <v>0</v>
      </c>
      <c r="KC12" s="23"/>
      <c r="KD12" s="2"/>
      <c r="KE12" s="2"/>
      <c r="KF12" s="24">
        <f t="shared" si="72"/>
        <v>0</v>
      </c>
      <c r="KG12" s="23"/>
      <c r="KH12" s="2"/>
      <c r="KI12" s="2"/>
      <c r="KJ12" s="24">
        <f t="shared" si="73"/>
        <v>0</v>
      </c>
      <c r="KK12" s="23"/>
      <c r="KL12" s="2"/>
      <c r="KM12" s="2"/>
      <c r="KN12" s="24">
        <f t="shared" si="74"/>
        <v>0</v>
      </c>
      <c r="KO12" s="23"/>
      <c r="KP12" s="2"/>
      <c r="KQ12" s="2"/>
      <c r="KR12" s="24">
        <f t="shared" si="75"/>
        <v>0</v>
      </c>
      <c r="KS12" s="23"/>
      <c r="KT12" s="8">
        <f t="shared" si="76"/>
        <v>0</v>
      </c>
      <c r="KU12" s="2"/>
      <c r="KV12" s="2"/>
      <c r="KW12" s="24">
        <f t="shared" si="77"/>
        <v>0</v>
      </c>
      <c r="KX12" s="23"/>
      <c r="KY12" s="8">
        <f t="shared" si="78"/>
        <v>0</v>
      </c>
      <c r="KZ12" s="2"/>
      <c r="LA12" s="2"/>
      <c r="LB12" s="24">
        <f t="shared" si="79"/>
        <v>0</v>
      </c>
      <c r="LC12" s="23"/>
      <c r="LD12" s="2"/>
      <c r="LE12" s="2"/>
      <c r="LF12" s="24">
        <f t="shared" si="80"/>
        <v>0</v>
      </c>
      <c r="LG12" s="23"/>
      <c r="LH12" s="2"/>
      <c r="LI12" s="2"/>
      <c r="LJ12" s="24">
        <f t="shared" si="81"/>
        <v>0</v>
      </c>
      <c r="LK12" s="23"/>
      <c r="LL12" s="8">
        <f t="shared" si="82"/>
        <v>0</v>
      </c>
      <c r="LM12" s="2"/>
      <c r="LN12" s="2"/>
      <c r="LO12" s="24">
        <f t="shared" si="83"/>
        <v>0</v>
      </c>
      <c r="LP12" s="23"/>
      <c r="LQ12" s="2"/>
      <c r="LR12" s="2"/>
      <c r="LS12" s="24">
        <f t="shared" si="84"/>
        <v>0</v>
      </c>
      <c r="LT12" s="23"/>
      <c r="LU12" s="2"/>
      <c r="LV12" s="2"/>
      <c r="LW12" s="24">
        <f t="shared" si="85"/>
        <v>0</v>
      </c>
      <c r="LX12" s="23"/>
      <c r="LY12" s="8">
        <f t="shared" si="86"/>
        <v>0</v>
      </c>
      <c r="LZ12" s="2"/>
      <c r="MA12" s="2"/>
      <c r="MB12" s="24">
        <f t="shared" si="87"/>
        <v>0</v>
      </c>
      <c r="MC12" s="23"/>
      <c r="MD12" s="2"/>
      <c r="ME12" s="2"/>
      <c r="MF12" s="24">
        <f t="shared" si="88"/>
        <v>0</v>
      </c>
      <c r="MG12" s="23"/>
      <c r="MH12" s="2"/>
      <c r="MI12" s="2"/>
      <c r="MJ12" s="24">
        <f t="shared" si="89"/>
        <v>0</v>
      </c>
      <c r="MK12" s="23"/>
      <c r="ML12" s="8">
        <f t="shared" si="90"/>
        <v>0</v>
      </c>
      <c r="MM12" s="2"/>
      <c r="MN12" s="2"/>
      <c r="MO12" s="24">
        <f t="shared" si="91"/>
        <v>0</v>
      </c>
      <c r="MP12" s="23"/>
      <c r="MQ12" s="2"/>
      <c r="MR12" s="2"/>
      <c r="MS12" s="24">
        <f t="shared" si="92"/>
        <v>0</v>
      </c>
      <c r="MT12" s="23"/>
      <c r="MU12" s="2"/>
      <c r="MV12" s="2"/>
      <c r="MW12" s="24">
        <f t="shared" si="93"/>
        <v>0</v>
      </c>
      <c r="MX12" s="23"/>
      <c r="MY12" s="8">
        <f t="shared" si="94"/>
        <v>0</v>
      </c>
      <c r="MZ12" s="2"/>
      <c r="NA12" s="2"/>
      <c r="NB12" s="24">
        <f t="shared" si="95"/>
        <v>0</v>
      </c>
      <c r="NC12" s="23"/>
      <c r="ND12" s="2"/>
      <c r="NE12" s="2"/>
      <c r="NF12" s="24">
        <f t="shared" si="96"/>
        <v>0</v>
      </c>
      <c r="NG12" s="23"/>
      <c r="NH12" s="2"/>
      <c r="NI12" s="2"/>
      <c r="NJ12" s="24">
        <f t="shared" si="97"/>
        <v>0</v>
      </c>
      <c r="NK12" s="23"/>
      <c r="NL12" s="8">
        <f t="shared" si="98"/>
        <v>0</v>
      </c>
      <c r="NM12" s="2"/>
      <c r="NN12" s="2"/>
      <c r="NO12" s="24">
        <f t="shared" si="99"/>
        <v>0</v>
      </c>
      <c r="NP12" s="23"/>
      <c r="NQ12" s="2"/>
      <c r="NR12" s="2"/>
      <c r="NS12" s="24">
        <f t="shared" si="100"/>
        <v>0</v>
      </c>
      <c r="NT12" s="23"/>
      <c r="NU12" s="8">
        <f t="shared" si="101"/>
        <v>0</v>
      </c>
      <c r="NV12" s="2"/>
      <c r="NW12" s="2"/>
      <c r="NX12" s="24">
        <f t="shared" si="102"/>
        <v>0</v>
      </c>
      <c r="NY12" s="23"/>
      <c r="NZ12" s="2"/>
      <c r="OA12" s="2"/>
      <c r="OB12" s="24">
        <f t="shared" si="103"/>
        <v>0</v>
      </c>
      <c r="OC12" s="23"/>
      <c r="OD12" s="8">
        <f t="shared" si="104"/>
        <v>0</v>
      </c>
      <c r="OE12" s="2"/>
      <c r="OF12" s="2"/>
      <c r="OG12" s="24">
        <f t="shared" si="105"/>
        <v>0</v>
      </c>
      <c r="OH12" s="23"/>
      <c r="OI12" s="2"/>
      <c r="OJ12" s="2"/>
      <c r="OK12" s="24">
        <f t="shared" si="106"/>
        <v>0</v>
      </c>
      <c r="OL12" s="23"/>
      <c r="OM12" s="8">
        <f t="shared" si="107"/>
        <v>0</v>
      </c>
      <c r="ON12" s="2"/>
      <c r="OO12" s="2"/>
      <c r="OP12" s="24">
        <f t="shared" si="108"/>
        <v>0</v>
      </c>
      <c r="OQ12" s="23"/>
      <c r="OR12" s="2"/>
      <c r="OS12" s="2"/>
      <c r="OT12" s="24">
        <f t="shared" si="109"/>
        <v>0</v>
      </c>
      <c r="OU12" s="23"/>
      <c r="OV12" s="8">
        <f t="shared" si="110"/>
        <v>0</v>
      </c>
      <c r="OW12" s="2"/>
      <c r="OX12" s="2"/>
      <c r="OY12" s="24">
        <f t="shared" si="111"/>
        <v>0</v>
      </c>
      <c r="OZ12" s="23"/>
      <c r="PA12" s="8">
        <f t="shared" si="112"/>
        <v>0</v>
      </c>
      <c r="PB12" s="2"/>
      <c r="PC12" s="2"/>
      <c r="PD12" s="24">
        <f t="shared" si="113"/>
        <v>0</v>
      </c>
      <c r="PE12" s="23"/>
      <c r="PF12" s="8">
        <f t="shared" si="114"/>
        <v>0</v>
      </c>
      <c r="PG12" s="2"/>
      <c r="PH12" s="2"/>
      <c r="PI12" s="24">
        <f t="shared" si="115"/>
        <v>0</v>
      </c>
      <c r="PJ12" s="23"/>
      <c r="PK12" s="2"/>
      <c r="PL12" s="2"/>
      <c r="PM12" s="24">
        <f t="shared" si="116"/>
        <v>0</v>
      </c>
      <c r="PN12" s="23"/>
      <c r="PO12" s="8">
        <f t="shared" si="117"/>
        <v>0</v>
      </c>
      <c r="PP12" s="2"/>
      <c r="PQ12" s="2"/>
      <c r="PR12" s="24">
        <f t="shared" si="118"/>
        <v>0</v>
      </c>
      <c r="PS12" s="23"/>
      <c r="PT12" s="8">
        <f t="shared" si="119"/>
        <v>0</v>
      </c>
      <c r="PU12" s="2"/>
      <c r="PV12" s="2"/>
      <c r="PW12" s="24">
        <f t="shared" si="120"/>
        <v>0</v>
      </c>
      <c r="PX12" s="23"/>
      <c r="PY12" s="8">
        <f t="shared" si="121"/>
        <v>0</v>
      </c>
      <c r="PZ12" s="2"/>
      <c r="QA12" s="2"/>
      <c r="QB12" s="24">
        <f t="shared" si="122"/>
        <v>0</v>
      </c>
      <c r="QC12" s="23"/>
      <c r="QD12" s="8">
        <f t="shared" si="123"/>
        <v>0</v>
      </c>
      <c r="QE12" s="2"/>
      <c r="QF12" s="2"/>
      <c r="QG12" s="24">
        <f t="shared" si="124"/>
        <v>0</v>
      </c>
      <c r="QH12" s="23"/>
      <c r="QI12" s="8">
        <f t="shared" si="125"/>
        <v>0</v>
      </c>
    </row>
    <row r="13" spans="1:451" ht="14.25" customHeight="1" x14ac:dyDescent="0.3">
      <c r="A13" s="5" t="s">
        <v>12</v>
      </c>
      <c r="B13" s="2">
        <v>3</v>
      </c>
      <c r="C13" s="2">
        <v>1</v>
      </c>
      <c r="D13" s="24">
        <f t="shared" si="0"/>
        <v>3</v>
      </c>
      <c r="E13" s="23"/>
      <c r="F13" s="2">
        <v>2</v>
      </c>
      <c r="G13" s="2">
        <v>1</v>
      </c>
      <c r="H13" s="24">
        <f t="shared" si="1"/>
        <v>5</v>
      </c>
      <c r="I13" s="23"/>
      <c r="J13" s="8">
        <f t="shared" si="2"/>
        <v>8</v>
      </c>
      <c r="K13" s="2">
        <v>2</v>
      </c>
      <c r="L13" s="2">
        <v>0</v>
      </c>
      <c r="M13" s="24">
        <f t="shared" si="3"/>
        <v>0</v>
      </c>
      <c r="N13" s="23"/>
      <c r="O13" s="2">
        <v>1</v>
      </c>
      <c r="P13" s="2">
        <v>2</v>
      </c>
      <c r="Q13" s="24">
        <f t="shared" si="4"/>
        <v>0</v>
      </c>
      <c r="R13" s="23"/>
      <c r="S13" s="8">
        <f t="shared" si="5"/>
        <v>0</v>
      </c>
      <c r="T13" s="2">
        <v>0</v>
      </c>
      <c r="U13" s="2">
        <v>3</v>
      </c>
      <c r="V13" s="24">
        <f t="shared" si="6"/>
        <v>0</v>
      </c>
      <c r="W13" s="23"/>
      <c r="X13" s="2">
        <v>2</v>
      </c>
      <c r="Y13" s="2">
        <v>1</v>
      </c>
      <c r="Z13" s="24">
        <f t="shared" si="7"/>
        <v>1</v>
      </c>
      <c r="AA13" s="23"/>
      <c r="AB13" s="2">
        <v>0</v>
      </c>
      <c r="AC13" s="2">
        <v>3</v>
      </c>
      <c r="AD13" s="24">
        <f t="shared" si="8"/>
        <v>4</v>
      </c>
      <c r="AE13" s="23"/>
      <c r="AF13" s="2">
        <v>1</v>
      </c>
      <c r="AG13" s="2">
        <v>2</v>
      </c>
      <c r="AH13" s="24">
        <f t="shared" si="9"/>
        <v>0</v>
      </c>
      <c r="AI13" s="23"/>
      <c r="AJ13" s="8">
        <f t="shared" si="10"/>
        <v>5</v>
      </c>
      <c r="AK13" s="2">
        <v>4</v>
      </c>
      <c r="AL13" s="2">
        <v>0</v>
      </c>
      <c r="AM13" s="24">
        <f t="shared" si="11"/>
        <v>3</v>
      </c>
      <c r="AN13" s="23"/>
      <c r="AO13" s="2">
        <v>2</v>
      </c>
      <c r="AP13" s="2">
        <v>1</v>
      </c>
      <c r="AQ13" s="24">
        <f t="shared" si="12"/>
        <v>1</v>
      </c>
      <c r="AR13" s="23"/>
      <c r="AS13" s="2">
        <v>1</v>
      </c>
      <c r="AT13" s="2">
        <v>2</v>
      </c>
      <c r="AU13" s="24">
        <f t="shared" si="13"/>
        <v>1</v>
      </c>
      <c r="AV13" s="23"/>
      <c r="AW13" s="2">
        <v>2</v>
      </c>
      <c r="AX13" s="2">
        <v>0</v>
      </c>
      <c r="AY13" s="24">
        <f t="shared" si="14"/>
        <v>3</v>
      </c>
      <c r="AZ13" s="23"/>
      <c r="BA13" s="8">
        <f t="shared" si="15"/>
        <v>8</v>
      </c>
      <c r="BB13" s="2">
        <v>5</v>
      </c>
      <c r="BC13" s="2">
        <v>1</v>
      </c>
      <c r="BD13" s="24">
        <f t="shared" si="16"/>
        <v>0</v>
      </c>
      <c r="BE13" s="23"/>
      <c r="BF13" s="2">
        <v>2</v>
      </c>
      <c r="BG13" s="2">
        <v>1</v>
      </c>
      <c r="BH13" s="24">
        <f t="shared" si="17"/>
        <v>1</v>
      </c>
      <c r="BI13" s="23"/>
      <c r="BJ13" s="2">
        <v>0</v>
      </c>
      <c r="BK13" s="2">
        <v>2</v>
      </c>
      <c r="BL13" s="24">
        <f t="shared" si="18"/>
        <v>0</v>
      </c>
      <c r="BM13" s="23"/>
      <c r="BN13" s="2">
        <v>1</v>
      </c>
      <c r="BO13" s="2">
        <v>0</v>
      </c>
      <c r="BP13" s="24">
        <f t="shared" si="19"/>
        <v>0</v>
      </c>
      <c r="BQ13" s="23"/>
      <c r="BR13" s="8">
        <f t="shared" si="20"/>
        <v>1</v>
      </c>
      <c r="BS13" s="2">
        <v>3</v>
      </c>
      <c r="BT13" s="2">
        <v>1</v>
      </c>
      <c r="BU13" s="24">
        <f t="shared" si="21"/>
        <v>5</v>
      </c>
      <c r="BV13" s="23"/>
      <c r="BW13" s="2">
        <v>1</v>
      </c>
      <c r="BX13" s="2">
        <v>2</v>
      </c>
      <c r="BY13" s="24">
        <f t="shared" si="22"/>
        <v>4</v>
      </c>
      <c r="BZ13" s="23"/>
      <c r="CA13" s="2">
        <v>3</v>
      </c>
      <c r="CB13" s="2">
        <v>0</v>
      </c>
      <c r="CC13" s="24">
        <f t="shared" si="23"/>
        <v>5</v>
      </c>
      <c r="CD13" s="23"/>
      <c r="CE13" s="2">
        <v>2</v>
      </c>
      <c r="CF13" s="2">
        <v>1</v>
      </c>
      <c r="CG13" s="24">
        <f t="shared" si="24"/>
        <v>4</v>
      </c>
      <c r="CH13" s="23"/>
      <c r="CI13" s="8">
        <f t="shared" si="25"/>
        <v>18</v>
      </c>
      <c r="CJ13" s="2">
        <v>2</v>
      </c>
      <c r="CK13" s="2">
        <v>0</v>
      </c>
      <c r="CL13" s="24">
        <f t="shared" si="26"/>
        <v>0</v>
      </c>
      <c r="CM13" s="23"/>
      <c r="CN13" s="2">
        <v>2</v>
      </c>
      <c r="CO13" s="2">
        <v>2</v>
      </c>
      <c r="CP13" s="24">
        <f t="shared" si="27"/>
        <v>1</v>
      </c>
      <c r="CQ13" s="23"/>
      <c r="CR13" s="2">
        <v>2</v>
      </c>
      <c r="CS13" s="2">
        <v>1</v>
      </c>
      <c r="CT13" s="24">
        <f t="shared" si="28"/>
        <v>3</v>
      </c>
      <c r="CU13" s="23"/>
      <c r="CV13" s="2">
        <v>1</v>
      </c>
      <c r="CW13" s="2">
        <v>3</v>
      </c>
      <c r="CX13" s="24">
        <f t="shared" si="29"/>
        <v>5</v>
      </c>
      <c r="CY13" s="23"/>
      <c r="CZ13" s="8">
        <f t="shared" si="30"/>
        <v>9</v>
      </c>
      <c r="DA13" s="2">
        <v>3</v>
      </c>
      <c r="DB13" s="2">
        <v>1</v>
      </c>
      <c r="DC13" s="24">
        <f t="shared" si="126"/>
        <v>1</v>
      </c>
      <c r="DD13" s="23"/>
      <c r="DE13" s="2">
        <v>2</v>
      </c>
      <c r="DF13" s="2">
        <v>1</v>
      </c>
      <c r="DG13" s="24">
        <f t="shared" si="127"/>
        <v>4</v>
      </c>
      <c r="DH13" s="23"/>
      <c r="DI13" s="2">
        <v>3</v>
      </c>
      <c r="DJ13" s="2">
        <v>0</v>
      </c>
      <c r="DK13" s="24">
        <f t="shared" si="128"/>
        <v>4</v>
      </c>
      <c r="DL13" s="23"/>
      <c r="DM13" s="2">
        <v>2</v>
      </c>
      <c r="DN13" s="2">
        <v>1</v>
      </c>
      <c r="DO13" s="24">
        <f t="shared" si="129"/>
        <v>3</v>
      </c>
      <c r="DP13" s="23"/>
      <c r="DQ13" s="8">
        <f t="shared" si="31"/>
        <v>12</v>
      </c>
      <c r="DR13" s="2">
        <v>3</v>
      </c>
      <c r="DS13" s="2">
        <v>1</v>
      </c>
      <c r="DT13" s="24">
        <f t="shared" si="130"/>
        <v>3</v>
      </c>
      <c r="DU13" s="23"/>
      <c r="DV13" s="2">
        <v>0</v>
      </c>
      <c r="DW13" s="2">
        <v>2</v>
      </c>
      <c r="DX13" s="24">
        <f t="shared" si="131"/>
        <v>4</v>
      </c>
      <c r="DY13" s="23"/>
      <c r="DZ13" s="2">
        <v>3</v>
      </c>
      <c r="EA13" s="2">
        <v>0</v>
      </c>
      <c r="EB13" s="24">
        <f t="shared" si="132"/>
        <v>5</v>
      </c>
      <c r="EC13" s="23"/>
      <c r="ED13" s="2">
        <v>1</v>
      </c>
      <c r="EE13" s="2">
        <v>2</v>
      </c>
      <c r="EF13" s="24">
        <f t="shared" si="133"/>
        <v>3</v>
      </c>
      <c r="EG13" s="23"/>
      <c r="EH13" s="8">
        <f t="shared" si="32"/>
        <v>15</v>
      </c>
      <c r="EI13" s="2">
        <v>3</v>
      </c>
      <c r="EJ13" s="2">
        <v>1</v>
      </c>
      <c r="EK13" s="24">
        <f t="shared" si="33"/>
        <v>4</v>
      </c>
      <c r="EL13" s="23"/>
      <c r="EM13" s="2">
        <v>2</v>
      </c>
      <c r="EN13" s="2">
        <v>0</v>
      </c>
      <c r="EO13" s="24">
        <f t="shared" si="34"/>
        <v>4</v>
      </c>
      <c r="EP13" s="23"/>
      <c r="EQ13" s="2">
        <v>3</v>
      </c>
      <c r="ER13" s="2">
        <v>0</v>
      </c>
      <c r="ES13" s="24">
        <f t="shared" si="35"/>
        <v>1</v>
      </c>
      <c r="ET13" s="23"/>
      <c r="EU13" s="2">
        <v>1</v>
      </c>
      <c r="EV13" s="2">
        <v>2</v>
      </c>
      <c r="EW13" s="24">
        <f t="shared" si="36"/>
        <v>3</v>
      </c>
      <c r="EX13" s="23"/>
      <c r="EY13" s="8">
        <f t="shared" si="37"/>
        <v>12</v>
      </c>
      <c r="EZ13" s="2">
        <v>3</v>
      </c>
      <c r="FA13" s="2">
        <v>1</v>
      </c>
      <c r="FB13" s="24"/>
      <c r="FC13" s="23"/>
      <c r="FD13" s="2">
        <v>2</v>
      </c>
      <c r="FE13" s="2">
        <v>1</v>
      </c>
      <c r="FF13" s="24"/>
      <c r="FG13" s="23"/>
      <c r="FH13" s="2">
        <v>3</v>
      </c>
      <c r="FI13" s="2">
        <v>1</v>
      </c>
      <c r="FJ13" s="24"/>
      <c r="FK13" s="23"/>
      <c r="FL13" s="2">
        <v>1</v>
      </c>
      <c r="FM13" s="2">
        <v>2</v>
      </c>
      <c r="FN13" s="24"/>
      <c r="FO13" s="23"/>
      <c r="FP13" s="8">
        <f t="shared" si="38"/>
        <v>0</v>
      </c>
      <c r="FQ13" s="2"/>
      <c r="FR13" s="2"/>
      <c r="FS13" s="24">
        <f t="shared" si="39"/>
        <v>0</v>
      </c>
      <c r="FT13" s="23"/>
      <c r="FU13" s="2"/>
      <c r="FV13" s="2"/>
      <c r="FW13" s="24">
        <f t="shared" si="40"/>
        <v>0</v>
      </c>
      <c r="FX13" s="23"/>
      <c r="FY13" s="2"/>
      <c r="FZ13" s="2"/>
      <c r="GA13" s="24">
        <f t="shared" si="41"/>
        <v>0</v>
      </c>
      <c r="GB13" s="23"/>
      <c r="GC13" s="2"/>
      <c r="GD13" s="2"/>
      <c r="GE13" s="24">
        <f t="shared" si="42"/>
        <v>0</v>
      </c>
      <c r="GF13" s="23"/>
      <c r="GG13" s="8">
        <f t="shared" si="43"/>
        <v>0</v>
      </c>
      <c r="GH13" s="2"/>
      <c r="GI13" s="2"/>
      <c r="GJ13" s="24">
        <f t="shared" si="44"/>
        <v>0</v>
      </c>
      <c r="GK13" s="23"/>
      <c r="GL13" s="2"/>
      <c r="GM13" s="2"/>
      <c r="GN13" s="24">
        <f t="shared" si="45"/>
        <v>0</v>
      </c>
      <c r="GO13" s="23"/>
      <c r="GP13" s="2"/>
      <c r="GQ13" s="2"/>
      <c r="GR13" s="24">
        <f t="shared" si="46"/>
        <v>0</v>
      </c>
      <c r="GS13" s="23"/>
      <c r="GT13" s="2"/>
      <c r="GU13" s="2"/>
      <c r="GV13" s="24">
        <f t="shared" si="47"/>
        <v>0</v>
      </c>
      <c r="GW13" s="23"/>
      <c r="GX13" s="8">
        <f t="shared" si="48"/>
        <v>0</v>
      </c>
      <c r="GY13" s="2"/>
      <c r="GZ13" s="2"/>
      <c r="HA13" s="24">
        <f t="shared" si="49"/>
        <v>0</v>
      </c>
      <c r="HB13" s="23"/>
      <c r="HC13" s="2"/>
      <c r="HD13" s="2"/>
      <c r="HE13" s="24">
        <f t="shared" si="50"/>
        <v>0</v>
      </c>
      <c r="HF13" s="23"/>
      <c r="HG13" s="2"/>
      <c r="HH13" s="2"/>
      <c r="HI13" s="24">
        <f t="shared" si="51"/>
        <v>0</v>
      </c>
      <c r="HJ13" s="23"/>
      <c r="HK13" s="2"/>
      <c r="HL13" s="2"/>
      <c r="HM13" s="24">
        <f t="shared" si="52"/>
        <v>0</v>
      </c>
      <c r="HN13" s="23"/>
      <c r="HO13" s="2"/>
      <c r="HP13" s="2"/>
      <c r="HQ13" s="24">
        <f t="shared" si="53"/>
        <v>0</v>
      </c>
      <c r="HR13" s="23"/>
      <c r="HS13" s="2"/>
      <c r="HT13" s="2"/>
      <c r="HU13" s="24">
        <f t="shared" si="54"/>
        <v>0</v>
      </c>
      <c r="HV13" s="23"/>
      <c r="HW13" s="8">
        <f t="shared" si="55"/>
        <v>0</v>
      </c>
      <c r="HX13" s="2"/>
      <c r="HY13" s="2"/>
      <c r="HZ13" s="24">
        <f t="shared" si="56"/>
        <v>0</v>
      </c>
      <c r="IA13" s="23"/>
      <c r="IB13" s="2"/>
      <c r="IC13" s="2"/>
      <c r="ID13" s="24">
        <f t="shared" si="57"/>
        <v>0</v>
      </c>
      <c r="IE13" s="23"/>
      <c r="IF13" s="2"/>
      <c r="IG13" s="2"/>
      <c r="IH13" s="24">
        <f t="shared" si="58"/>
        <v>0</v>
      </c>
      <c r="II13" s="23"/>
      <c r="IJ13" s="2"/>
      <c r="IK13" s="2"/>
      <c r="IL13" s="24">
        <f t="shared" si="59"/>
        <v>0</v>
      </c>
      <c r="IM13" s="23"/>
      <c r="IN13" s="2"/>
      <c r="IO13" s="2"/>
      <c r="IP13" s="24">
        <f t="shared" si="60"/>
        <v>0</v>
      </c>
      <c r="IQ13" s="23"/>
      <c r="IR13" s="2"/>
      <c r="IS13" s="2"/>
      <c r="IT13" s="24">
        <f t="shared" si="61"/>
        <v>0</v>
      </c>
      <c r="IU13" s="23"/>
      <c r="IV13" s="8">
        <f t="shared" si="62"/>
        <v>0</v>
      </c>
      <c r="IW13" s="2"/>
      <c r="IX13" s="2"/>
      <c r="IY13" s="24">
        <f t="shared" si="63"/>
        <v>0</v>
      </c>
      <c r="IZ13" s="23"/>
      <c r="JA13" s="2"/>
      <c r="JB13" s="2"/>
      <c r="JC13" s="24">
        <f t="shared" si="64"/>
        <v>0</v>
      </c>
      <c r="JD13" s="23"/>
      <c r="JE13" s="2"/>
      <c r="JF13" s="2"/>
      <c r="JG13" s="24">
        <f t="shared" si="65"/>
        <v>0</v>
      </c>
      <c r="JH13" s="23"/>
      <c r="JI13" s="2"/>
      <c r="JJ13" s="2"/>
      <c r="JK13" s="24">
        <f t="shared" si="66"/>
        <v>0</v>
      </c>
      <c r="JL13" s="23"/>
      <c r="JM13" s="2"/>
      <c r="JN13" s="2"/>
      <c r="JO13" s="24">
        <f t="shared" si="67"/>
        <v>0</v>
      </c>
      <c r="JP13" s="23"/>
      <c r="JQ13" s="2"/>
      <c r="JR13" s="2"/>
      <c r="JS13" s="24">
        <f t="shared" si="68"/>
        <v>0</v>
      </c>
      <c r="JT13" s="23"/>
      <c r="JU13" s="8">
        <f t="shared" si="69"/>
        <v>0</v>
      </c>
      <c r="JV13" s="2"/>
      <c r="JW13" s="2"/>
      <c r="JX13" s="24">
        <f t="shared" si="70"/>
        <v>0</v>
      </c>
      <c r="JY13" s="23"/>
      <c r="JZ13" s="2"/>
      <c r="KA13" s="2"/>
      <c r="KB13" s="24">
        <f t="shared" si="71"/>
        <v>0</v>
      </c>
      <c r="KC13" s="23"/>
      <c r="KD13" s="2"/>
      <c r="KE13" s="2"/>
      <c r="KF13" s="24">
        <f t="shared" si="72"/>
        <v>0</v>
      </c>
      <c r="KG13" s="23"/>
      <c r="KH13" s="2"/>
      <c r="KI13" s="2"/>
      <c r="KJ13" s="24">
        <f t="shared" si="73"/>
        <v>0</v>
      </c>
      <c r="KK13" s="23"/>
      <c r="KL13" s="2"/>
      <c r="KM13" s="2"/>
      <c r="KN13" s="24">
        <f t="shared" si="74"/>
        <v>0</v>
      </c>
      <c r="KO13" s="23"/>
      <c r="KP13" s="2"/>
      <c r="KQ13" s="2"/>
      <c r="KR13" s="24">
        <f t="shared" si="75"/>
        <v>0</v>
      </c>
      <c r="KS13" s="23"/>
      <c r="KT13" s="8">
        <f t="shared" si="76"/>
        <v>0</v>
      </c>
      <c r="KU13" s="2"/>
      <c r="KV13" s="2"/>
      <c r="KW13" s="24">
        <f t="shared" si="77"/>
        <v>0</v>
      </c>
      <c r="KX13" s="23"/>
      <c r="KY13" s="8">
        <f t="shared" si="78"/>
        <v>0</v>
      </c>
      <c r="KZ13" s="2"/>
      <c r="LA13" s="2"/>
      <c r="LB13" s="24">
        <f t="shared" si="79"/>
        <v>0</v>
      </c>
      <c r="LC13" s="23"/>
      <c r="LD13" s="2"/>
      <c r="LE13" s="2"/>
      <c r="LF13" s="24">
        <f t="shared" si="80"/>
        <v>0</v>
      </c>
      <c r="LG13" s="23"/>
      <c r="LH13" s="2"/>
      <c r="LI13" s="2"/>
      <c r="LJ13" s="24">
        <f t="shared" si="81"/>
        <v>0</v>
      </c>
      <c r="LK13" s="23"/>
      <c r="LL13" s="8">
        <f t="shared" si="82"/>
        <v>0</v>
      </c>
      <c r="LM13" s="2"/>
      <c r="LN13" s="2"/>
      <c r="LO13" s="24">
        <f t="shared" si="83"/>
        <v>0</v>
      </c>
      <c r="LP13" s="23"/>
      <c r="LQ13" s="2"/>
      <c r="LR13" s="2"/>
      <c r="LS13" s="24">
        <f t="shared" si="84"/>
        <v>0</v>
      </c>
      <c r="LT13" s="23"/>
      <c r="LU13" s="2"/>
      <c r="LV13" s="2"/>
      <c r="LW13" s="24">
        <f t="shared" si="85"/>
        <v>0</v>
      </c>
      <c r="LX13" s="23"/>
      <c r="LY13" s="8">
        <f t="shared" si="86"/>
        <v>0</v>
      </c>
      <c r="LZ13" s="2"/>
      <c r="MA13" s="2"/>
      <c r="MB13" s="24">
        <f t="shared" si="87"/>
        <v>0</v>
      </c>
      <c r="MC13" s="23"/>
      <c r="MD13" s="2"/>
      <c r="ME13" s="2"/>
      <c r="MF13" s="24">
        <f t="shared" si="88"/>
        <v>0</v>
      </c>
      <c r="MG13" s="23"/>
      <c r="MH13" s="2"/>
      <c r="MI13" s="2"/>
      <c r="MJ13" s="24">
        <f t="shared" si="89"/>
        <v>0</v>
      </c>
      <c r="MK13" s="23"/>
      <c r="ML13" s="8">
        <f t="shared" si="90"/>
        <v>0</v>
      </c>
      <c r="MM13" s="2"/>
      <c r="MN13" s="2"/>
      <c r="MO13" s="24">
        <f t="shared" si="91"/>
        <v>0</v>
      </c>
      <c r="MP13" s="23"/>
      <c r="MQ13" s="2"/>
      <c r="MR13" s="2"/>
      <c r="MS13" s="24">
        <f t="shared" si="92"/>
        <v>0</v>
      </c>
      <c r="MT13" s="23"/>
      <c r="MU13" s="2"/>
      <c r="MV13" s="2"/>
      <c r="MW13" s="24">
        <f t="shared" si="93"/>
        <v>0</v>
      </c>
      <c r="MX13" s="23"/>
      <c r="MY13" s="8">
        <f t="shared" si="94"/>
        <v>0</v>
      </c>
      <c r="MZ13" s="2"/>
      <c r="NA13" s="2"/>
      <c r="NB13" s="24">
        <f t="shared" si="95"/>
        <v>0</v>
      </c>
      <c r="NC13" s="23"/>
      <c r="ND13" s="2"/>
      <c r="NE13" s="2"/>
      <c r="NF13" s="24">
        <f t="shared" si="96"/>
        <v>0</v>
      </c>
      <c r="NG13" s="23"/>
      <c r="NH13" s="2"/>
      <c r="NI13" s="2"/>
      <c r="NJ13" s="24">
        <f t="shared" si="97"/>
        <v>0</v>
      </c>
      <c r="NK13" s="23"/>
      <c r="NL13" s="8">
        <f t="shared" si="98"/>
        <v>0</v>
      </c>
      <c r="NM13" s="2"/>
      <c r="NN13" s="2"/>
      <c r="NO13" s="24">
        <f t="shared" si="99"/>
        <v>0</v>
      </c>
      <c r="NP13" s="23"/>
      <c r="NQ13" s="2"/>
      <c r="NR13" s="2"/>
      <c r="NS13" s="24">
        <f t="shared" si="100"/>
        <v>0</v>
      </c>
      <c r="NT13" s="23"/>
      <c r="NU13" s="8">
        <f t="shared" si="101"/>
        <v>0</v>
      </c>
      <c r="NV13" s="2"/>
      <c r="NW13" s="2"/>
      <c r="NX13" s="24">
        <f t="shared" si="102"/>
        <v>0</v>
      </c>
      <c r="NY13" s="23"/>
      <c r="NZ13" s="2"/>
      <c r="OA13" s="2"/>
      <c r="OB13" s="24">
        <f t="shared" si="103"/>
        <v>0</v>
      </c>
      <c r="OC13" s="23"/>
      <c r="OD13" s="8">
        <f t="shared" si="104"/>
        <v>0</v>
      </c>
      <c r="OE13" s="2"/>
      <c r="OF13" s="2"/>
      <c r="OG13" s="24">
        <f t="shared" si="105"/>
        <v>0</v>
      </c>
      <c r="OH13" s="23"/>
      <c r="OI13" s="2"/>
      <c r="OJ13" s="2"/>
      <c r="OK13" s="24">
        <f t="shared" si="106"/>
        <v>0</v>
      </c>
      <c r="OL13" s="23"/>
      <c r="OM13" s="8">
        <f t="shared" si="107"/>
        <v>0</v>
      </c>
      <c r="ON13" s="2"/>
      <c r="OO13" s="2"/>
      <c r="OP13" s="24">
        <f t="shared" si="108"/>
        <v>0</v>
      </c>
      <c r="OQ13" s="23"/>
      <c r="OR13" s="2"/>
      <c r="OS13" s="2"/>
      <c r="OT13" s="24">
        <f t="shared" si="109"/>
        <v>0</v>
      </c>
      <c r="OU13" s="23"/>
      <c r="OV13" s="8">
        <f t="shared" si="110"/>
        <v>0</v>
      </c>
      <c r="OW13" s="2"/>
      <c r="OX13" s="2"/>
      <c r="OY13" s="24">
        <f t="shared" si="111"/>
        <v>0</v>
      </c>
      <c r="OZ13" s="23"/>
      <c r="PA13" s="8">
        <f t="shared" si="112"/>
        <v>0</v>
      </c>
      <c r="PB13" s="2"/>
      <c r="PC13" s="2"/>
      <c r="PD13" s="24">
        <f t="shared" si="113"/>
        <v>0</v>
      </c>
      <c r="PE13" s="23"/>
      <c r="PF13" s="8">
        <f t="shared" si="114"/>
        <v>0</v>
      </c>
      <c r="PG13" s="2"/>
      <c r="PH13" s="2"/>
      <c r="PI13" s="24">
        <f t="shared" si="115"/>
        <v>0</v>
      </c>
      <c r="PJ13" s="23"/>
      <c r="PK13" s="2"/>
      <c r="PL13" s="2"/>
      <c r="PM13" s="24">
        <f t="shared" si="116"/>
        <v>0</v>
      </c>
      <c r="PN13" s="23"/>
      <c r="PO13" s="8">
        <f t="shared" si="117"/>
        <v>0</v>
      </c>
      <c r="PP13" s="2"/>
      <c r="PQ13" s="2"/>
      <c r="PR13" s="24">
        <f t="shared" si="118"/>
        <v>0</v>
      </c>
      <c r="PS13" s="23"/>
      <c r="PT13" s="8">
        <f t="shared" si="119"/>
        <v>0</v>
      </c>
      <c r="PU13" s="2"/>
      <c r="PV13" s="2"/>
      <c r="PW13" s="24">
        <f t="shared" si="120"/>
        <v>0</v>
      </c>
      <c r="PX13" s="23"/>
      <c r="PY13" s="8">
        <f t="shared" si="121"/>
        <v>0</v>
      </c>
      <c r="PZ13" s="2"/>
      <c r="QA13" s="2"/>
      <c r="QB13" s="24">
        <f t="shared" si="122"/>
        <v>0</v>
      </c>
      <c r="QC13" s="23"/>
      <c r="QD13" s="8">
        <f t="shared" si="123"/>
        <v>0</v>
      </c>
      <c r="QE13" s="2"/>
      <c r="QF13" s="2"/>
      <c r="QG13" s="24">
        <f t="shared" si="124"/>
        <v>0</v>
      </c>
      <c r="QH13" s="23"/>
      <c r="QI13" s="8">
        <f t="shared" si="125"/>
        <v>0</v>
      </c>
    </row>
    <row r="14" spans="1:451" ht="14.25" customHeight="1" x14ac:dyDescent="0.3">
      <c r="A14" s="5" t="s">
        <v>13</v>
      </c>
      <c r="B14" s="2">
        <v>2</v>
      </c>
      <c r="C14" s="2">
        <v>1</v>
      </c>
      <c r="D14" s="24">
        <f t="shared" si="0"/>
        <v>4</v>
      </c>
      <c r="E14" s="23"/>
      <c r="F14" s="2">
        <v>2</v>
      </c>
      <c r="G14" s="2">
        <v>0</v>
      </c>
      <c r="H14" s="24">
        <f t="shared" si="1"/>
        <v>4</v>
      </c>
      <c r="I14" s="23"/>
      <c r="J14" s="8">
        <f t="shared" si="2"/>
        <v>8</v>
      </c>
      <c r="K14" s="2">
        <v>2</v>
      </c>
      <c r="L14" s="2">
        <v>2</v>
      </c>
      <c r="M14" s="24">
        <f t="shared" si="3"/>
        <v>3</v>
      </c>
      <c r="N14" s="23"/>
      <c r="O14" s="2">
        <v>2</v>
      </c>
      <c r="P14" s="2">
        <v>1</v>
      </c>
      <c r="Q14" s="24">
        <f t="shared" si="4"/>
        <v>4</v>
      </c>
      <c r="R14" s="23"/>
      <c r="S14" s="8">
        <f t="shared" si="5"/>
        <v>7</v>
      </c>
      <c r="T14" s="2">
        <v>0</v>
      </c>
      <c r="U14" s="2">
        <v>2</v>
      </c>
      <c r="V14" s="24">
        <f t="shared" si="6"/>
        <v>0</v>
      </c>
      <c r="W14" s="23"/>
      <c r="X14" s="2">
        <v>2</v>
      </c>
      <c r="Y14" s="2">
        <v>1</v>
      </c>
      <c r="Z14" s="24">
        <f t="shared" si="7"/>
        <v>1</v>
      </c>
      <c r="AA14" s="23"/>
      <c r="AB14" s="2">
        <v>0</v>
      </c>
      <c r="AC14" s="2">
        <v>3</v>
      </c>
      <c r="AD14" s="24">
        <f t="shared" si="8"/>
        <v>4</v>
      </c>
      <c r="AE14" s="23"/>
      <c r="AF14" s="2">
        <v>0</v>
      </c>
      <c r="AG14" s="2">
        <v>2</v>
      </c>
      <c r="AH14" s="24">
        <f t="shared" si="9"/>
        <v>0</v>
      </c>
      <c r="AI14" s="23"/>
      <c r="AJ14" s="8">
        <f t="shared" si="10"/>
        <v>5</v>
      </c>
      <c r="AK14" s="2">
        <v>3</v>
      </c>
      <c r="AL14" s="2">
        <v>0</v>
      </c>
      <c r="AM14" s="24">
        <f t="shared" si="11"/>
        <v>3</v>
      </c>
      <c r="AN14" s="23"/>
      <c r="AO14" s="2">
        <v>2</v>
      </c>
      <c r="AP14" s="2">
        <v>1</v>
      </c>
      <c r="AQ14" s="24">
        <f t="shared" si="12"/>
        <v>1</v>
      </c>
      <c r="AR14" s="23"/>
      <c r="AS14" s="2">
        <v>2</v>
      </c>
      <c r="AT14" s="2">
        <v>1</v>
      </c>
      <c r="AU14" s="24">
        <f t="shared" si="13"/>
        <v>3</v>
      </c>
      <c r="AV14" s="23"/>
      <c r="AW14" s="2">
        <v>1</v>
      </c>
      <c r="AX14" s="2">
        <v>1</v>
      </c>
      <c r="AY14" s="24">
        <f t="shared" si="14"/>
        <v>1</v>
      </c>
      <c r="AZ14" s="23"/>
      <c r="BA14" s="8">
        <f t="shared" si="15"/>
        <v>8</v>
      </c>
      <c r="BB14" s="2">
        <v>3</v>
      </c>
      <c r="BC14" s="2">
        <v>0</v>
      </c>
      <c r="BD14" s="24">
        <f t="shared" si="16"/>
        <v>1</v>
      </c>
      <c r="BE14" s="23"/>
      <c r="BF14" s="2">
        <v>2</v>
      </c>
      <c r="BG14" s="2">
        <v>0</v>
      </c>
      <c r="BH14" s="24">
        <f t="shared" si="17"/>
        <v>0</v>
      </c>
      <c r="BI14" s="23"/>
      <c r="BJ14" s="2">
        <v>1</v>
      </c>
      <c r="BK14" s="2">
        <v>2</v>
      </c>
      <c r="BL14" s="24">
        <f t="shared" si="18"/>
        <v>1</v>
      </c>
      <c r="BM14" s="23"/>
      <c r="BN14" s="2">
        <v>1</v>
      </c>
      <c r="BO14" s="2">
        <v>1</v>
      </c>
      <c r="BP14" s="24">
        <f t="shared" si="19"/>
        <v>3</v>
      </c>
      <c r="BQ14" s="23"/>
      <c r="BR14" s="8">
        <f t="shared" si="20"/>
        <v>5</v>
      </c>
      <c r="BS14" s="2">
        <v>2</v>
      </c>
      <c r="BT14" s="2">
        <v>0</v>
      </c>
      <c r="BU14" s="24">
        <f t="shared" si="21"/>
        <v>3</v>
      </c>
      <c r="BV14" s="23"/>
      <c r="BW14" s="2">
        <v>1</v>
      </c>
      <c r="BX14" s="2">
        <v>2</v>
      </c>
      <c r="BY14" s="24">
        <f t="shared" si="22"/>
        <v>4</v>
      </c>
      <c r="BZ14" s="23"/>
      <c r="CA14" s="2">
        <v>2</v>
      </c>
      <c r="CB14" s="2">
        <v>0</v>
      </c>
      <c r="CC14" s="24">
        <f t="shared" si="23"/>
        <v>4</v>
      </c>
      <c r="CD14" s="23"/>
      <c r="CE14" s="2">
        <v>2</v>
      </c>
      <c r="CF14" s="2">
        <v>1</v>
      </c>
      <c r="CG14" s="24">
        <f t="shared" si="24"/>
        <v>4</v>
      </c>
      <c r="CH14" s="23"/>
      <c r="CI14" s="8">
        <f t="shared" si="25"/>
        <v>15</v>
      </c>
      <c r="CJ14" s="2">
        <v>2</v>
      </c>
      <c r="CK14" s="2">
        <v>0</v>
      </c>
      <c r="CL14" s="24">
        <f t="shared" si="26"/>
        <v>0</v>
      </c>
      <c r="CM14" s="23"/>
      <c r="CN14" s="2">
        <v>2</v>
      </c>
      <c r="CO14" s="2">
        <v>1</v>
      </c>
      <c r="CP14" s="24">
        <f t="shared" si="27"/>
        <v>3</v>
      </c>
      <c r="CQ14" s="23"/>
      <c r="CR14" s="2">
        <v>1</v>
      </c>
      <c r="CS14" s="2">
        <v>1</v>
      </c>
      <c r="CT14" s="24">
        <f t="shared" si="28"/>
        <v>1</v>
      </c>
      <c r="CU14" s="23"/>
      <c r="CV14" s="2">
        <v>0</v>
      </c>
      <c r="CW14" s="2">
        <v>3</v>
      </c>
      <c r="CX14" s="24">
        <f t="shared" si="29"/>
        <v>4</v>
      </c>
      <c r="CY14" s="23"/>
      <c r="CZ14" s="8">
        <f t="shared" si="30"/>
        <v>8</v>
      </c>
      <c r="DA14" s="2">
        <v>1</v>
      </c>
      <c r="DB14" s="2">
        <v>0</v>
      </c>
      <c r="DC14" s="24">
        <f t="shared" si="126"/>
        <v>1</v>
      </c>
      <c r="DD14" s="23"/>
      <c r="DE14" s="2">
        <v>2</v>
      </c>
      <c r="DF14" s="2">
        <v>1</v>
      </c>
      <c r="DG14" s="24">
        <f t="shared" si="127"/>
        <v>4</v>
      </c>
      <c r="DH14" s="23"/>
      <c r="DI14" s="2">
        <v>1</v>
      </c>
      <c r="DJ14" s="2">
        <v>0</v>
      </c>
      <c r="DK14" s="24">
        <f t="shared" si="128"/>
        <v>4</v>
      </c>
      <c r="DL14" s="23"/>
      <c r="DM14" s="2">
        <v>1</v>
      </c>
      <c r="DN14" s="2">
        <v>2</v>
      </c>
      <c r="DO14" s="24">
        <f t="shared" si="129"/>
        <v>1</v>
      </c>
      <c r="DP14" s="23"/>
      <c r="DQ14" s="8">
        <f t="shared" si="31"/>
        <v>10</v>
      </c>
      <c r="DR14" s="2">
        <v>2</v>
      </c>
      <c r="DS14" s="2">
        <v>0</v>
      </c>
      <c r="DT14" s="24">
        <f t="shared" si="130"/>
        <v>5</v>
      </c>
      <c r="DU14" s="23"/>
      <c r="DV14" s="2">
        <v>1</v>
      </c>
      <c r="DW14" s="2">
        <v>3</v>
      </c>
      <c r="DX14" s="24">
        <f t="shared" si="131"/>
        <v>3</v>
      </c>
      <c r="DY14" s="23"/>
      <c r="DZ14" s="2">
        <v>2</v>
      </c>
      <c r="EA14" s="2">
        <v>0</v>
      </c>
      <c r="EB14" s="24">
        <f t="shared" si="132"/>
        <v>4</v>
      </c>
      <c r="EC14" s="23"/>
      <c r="ED14" s="2">
        <v>2</v>
      </c>
      <c r="EE14" s="2">
        <v>1</v>
      </c>
      <c r="EF14" s="24">
        <f t="shared" si="133"/>
        <v>1</v>
      </c>
      <c r="EG14" s="23"/>
      <c r="EH14" s="8">
        <f t="shared" si="32"/>
        <v>13</v>
      </c>
      <c r="EI14" s="2">
        <v>2</v>
      </c>
      <c r="EJ14" s="2">
        <v>0</v>
      </c>
      <c r="EK14" s="24">
        <f t="shared" si="33"/>
        <v>3</v>
      </c>
      <c r="EL14" s="23"/>
      <c r="EM14" s="2">
        <v>3</v>
      </c>
      <c r="EN14" s="2">
        <v>0</v>
      </c>
      <c r="EO14" s="24">
        <f t="shared" si="34"/>
        <v>3</v>
      </c>
      <c r="EP14" s="23"/>
      <c r="EQ14" s="2">
        <v>2</v>
      </c>
      <c r="ER14" s="2">
        <v>0</v>
      </c>
      <c r="ES14" s="24">
        <f t="shared" si="35"/>
        <v>1</v>
      </c>
      <c r="ET14" s="23"/>
      <c r="EU14" s="2">
        <v>1</v>
      </c>
      <c r="EV14" s="2">
        <v>3</v>
      </c>
      <c r="EW14" s="24">
        <f t="shared" si="36"/>
        <v>3</v>
      </c>
      <c r="EX14" s="23"/>
      <c r="EY14" s="8">
        <f t="shared" si="37"/>
        <v>10</v>
      </c>
      <c r="EZ14" s="2">
        <v>4</v>
      </c>
      <c r="FA14" s="2">
        <v>1</v>
      </c>
      <c r="FB14" s="24"/>
      <c r="FC14" s="23"/>
      <c r="FD14" s="2">
        <v>2</v>
      </c>
      <c r="FE14" s="2">
        <v>0</v>
      </c>
      <c r="FF14" s="24"/>
      <c r="FG14" s="23"/>
      <c r="FH14" s="2">
        <v>1</v>
      </c>
      <c r="FI14" s="2">
        <v>0</v>
      </c>
      <c r="FJ14" s="24"/>
      <c r="FK14" s="23"/>
      <c r="FL14" s="2">
        <v>1</v>
      </c>
      <c r="FM14" s="2">
        <v>3</v>
      </c>
      <c r="FN14" s="24"/>
      <c r="FO14" s="23"/>
      <c r="FP14" s="8">
        <f t="shared" si="38"/>
        <v>0</v>
      </c>
      <c r="FQ14" s="2"/>
      <c r="FR14" s="2"/>
      <c r="FS14" s="24">
        <f t="shared" si="39"/>
        <v>0</v>
      </c>
      <c r="FT14" s="23"/>
      <c r="FU14" s="2"/>
      <c r="FV14" s="2"/>
      <c r="FW14" s="24">
        <f t="shared" si="40"/>
        <v>0</v>
      </c>
      <c r="FX14" s="23"/>
      <c r="FY14" s="2"/>
      <c r="FZ14" s="2"/>
      <c r="GA14" s="24">
        <f t="shared" si="41"/>
        <v>0</v>
      </c>
      <c r="GB14" s="23"/>
      <c r="GC14" s="2"/>
      <c r="GD14" s="2"/>
      <c r="GE14" s="24">
        <f t="shared" si="42"/>
        <v>0</v>
      </c>
      <c r="GF14" s="23"/>
      <c r="GG14" s="8">
        <f t="shared" si="43"/>
        <v>0</v>
      </c>
      <c r="GH14" s="2"/>
      <c r="GI14" s="2"/>
      <c r="GJ14" s="24">
        <f t="shared" si="44"/>
        <v>0</v>
      </c>
      <c r="GK14" s="23"/>
      <c r="GL14" s="2"/>
      <c r="GM14" s="2"/>
      <c r="GN14" s="24">
        <f t="shared" si="45"/>
        <v>0</v>
      </c>
      <c r="GO14" s="23"/>
      <c r="GP14" s="2"/>
      <c r="GQ14" s="2"/>
      <c r="GR14" s="24">
        <f t="shared" si="46"/>
        <v>0</v>
      </c>
      <c r="GS14" s="23"/>
      <c r="GT14" s="2"/>
      <c r="GU14" s="2"/>
      <c r="GV14" s="24">
        <f t="shared" si="47"/>
        <v>0</v>
      </c>
      <c r="GW14" s="23"/>
      <c r="GX14" s="8">
        <f t="shared" si="48"/>
        <v>0</v>
      </c>
      <c r="GY14" s="2"/>
      <c r="GZ14" s="2"/>
      <c r="HA14" s="24">
        <f t="shared" si="49"/>
        <v>0</v>
      </c>
      <c r="HB14" s="23"/>
      <c r="HC14" s="2"/>
      <c r="HD14" s="2"/>
      <c r="HE14" s="24">
        <f t="shared" si="50"/>
        <v>0</v>
      </c>
      <c r="HF14" s="23"/>
      <c r="HG14" s="2"/>
      <c r="HH14" s="2"/>
      <c r="HI14" s="24">
        <f t="shared" si="51"/>
        <v>0</v>
      </c>
      <c r="HJ14" s="23"/>
      <c r="HK14" s="2"/>
      <c r="HL14" s="2"/>
      <c r="HM14" s="24">
        <f t="shared" si="52"/>
        <v>0</v>
      </c>
      <c r="HN14" s="23"/>
      <c r="HO14" s="2"/>
      <c r="HP14" s="2"/>
      <c r="HQ14" s="24">
        <f t="shared" si="53"/>
        <v>0</v>
      </c>
      <c r="HR14" s="23"/>
      <c r="HS14" s="2"/>
      <c r="HT14" s="2"/>
      <c r="HU14" s="24">
        <f t="shared" si="54"/>
        <v>0</v>
      </c>
      <c r="HV14" s="23"/>
      <c r="HW14" s="8">
        <f t="shared" si="55"/>
        <v>0</v>
      </c>
      <c r="HX14" s="2"/>
      <c r="HY14" s="2"/>
      <c r="HZ14" s="24">
        <f t="shared" si="56"/>
        <v>0</v>
      </c>
      <c r="IA14" s="23"/>
      <c r="IB14" s="2"/>
      <c r="IC14" s="2"/>
      <c r="ID14" s="24">
        <f t="shared" si="57"/>
        <v>0</v>
      </c>
      <c r="IE14" s="23"/>
      <c r="IF14" s="2"/>
      <c r="IG14" s="2"/>
      <c r="IH14" s="24">
        <f t="shared" si="58"/>
        <v>0</v>
      </c>
      <c r="II14" s="23"/>
      <c r="IJ14" s="2"/>
      <c r="IK14" s="2"/>
      <c r="IL14" s="24">
        <f t="shared" si="59"/>
        <v>0</v>
      </c>
      <c r="IM14" s="23"/>
      <c r="IN14" s="2"/>
      <c r="IO14" s="2"/>
      <c r="IP14" s="24">
        <f t="shared" si="60"/>
        <v>0</v>
      </c>
      <c r="IQ14" s="23"/>
      <c r="IR14" s="2"/>
      <c r="IS14" s="2"/>
      <c r="IT14" s="24">
        <f t="shared" si="61"/>
        <v>0</v>
      </c>
      <c r="IU14" s="23"/>
      <c r="IV14" s="8">
        <f t="shared" si="62"/>
        <v>0</v>
      </c>
      <c r="IW14" s="2"/>
      <c r="IX14" s="2"/>
      <c r="IY14" s="24">
        <f t="shared" si="63"/>
        <v>0</v>
      </c>
      <c r="IZ14" s="23"/>
      <c r="JA14" s="2"/>
      <c r="JB14" s="2"/>
      <c r="JC14" s="24">
        <f t="shared" si="64"/>
        <v>0</v>
      </c>
      <c r="JD14" s="23"/>
      <c r="JE14" s="2"/>
      <c r="JF14" s="2"/>
      <c r="JG14" s="24">
        <f t="shared" si="65"/>
        <v>0</v>
      </c>
      <c r="JH14" s="23"/>
      <c r="JI14" s="2"/>
      <c r="JJ14" s="2"/>
      <c r="JK14" s="24">
        <f t="shared" si="66"/>
        <v>0</v>
      </c>
      <c r="JL14" s="23"/>
      <c r="JM14" s="2"/>
      <c r="JN14" s="2"/>
      <c r="JO14" s="24">
        <f t="shared" si="67"/>
        <v>0</v>
      </c>
      <c r="JP14" s="23"/>
      <c r="JQ14" s="2"/>
      <c r="JR14" s="2"/>
      <c r="JS14" s="24">
        <f t="shared" si="68"/>
        <v>0</v>
      </c>
      <c r="JT14" s="23"/>
      <c r="JU14" s="8">
        <f t="shared" si="69"/>
        <v>0</v>
      </c>
      <c r="JV14" s="2"/>
      <c r="JW14" s="2"/>
      <c r="JX14" s="24">
        <f t="shared" si="70"/>
        <v>0</v>
      </c>
      <c r="JY14" s="23"/>
      <c r="JZ14" s="2"/>
      <c r="KA14" s="2"/>
      <c r="KB14" s="24">
        <f t="shared" si="71"/>
        <v>0</v>
      </c>
      <c r="KC14" s="23"/>
      <c r="KD14" s="2"/>
      <c r="KE14" s="2"/>
      <c r="KF14" s="24">
        <f t="shared" si="72"/>
        <v>0</v>
      </c>
      <c r="KG14" s="23"/>
      <c r="KH14" s="2"/>
      <c r="KI14" s="2"/>
      <c r="KJ14" s="24">
        <f t="shared" si="73"/>
        <v>0</v>
      </c>
      <c r="KK14" s="23"/>
      <c r="KL14" s="2"/>
      <c r="KM14" s="2"/>
      <c r="KN14" s="24">
        <f t="shared" si="74"/>
        <v>0</v>
      </c>
      <c r="KO14" s="23"/>
      <c r="KP14" s="2"/>
      <c r="KQ14" s="2"/>
      <c r="KR14" s="24">
        <f t="shared" si="75"/>
        <v>0</v>
      </c>
      <c r="KS14" s="23"/>
      <c r="KT14" s="8">
        <f t="shared" si="76"/>
        <v>0</v>
      </c>
      <c r="KU14" s="2"/>
      <c r="KV14" s="2"/>
      <c r="KW14" s="24">
        <f t="shared" si="77"/>
        <v>0</v>
      </c>
      <c r="KX14" s="23"/>
      <c r="KY14" s="8">
        <f t="shared" si="78"/>
        <v>0</v>
      </c>
      <c r="KZ14" s="2"/>
      <c r="LA14" s="2"/>
      <c r="LB14" s="24">
        <f t="shared" si="79"/>
        <v>0</v>
      </c>
      <c r="LC14" s="23"/>
      <c r="LD14" s="2"/>
      <c r="LE14" s="2"/>
      <c r="LF14" s="24">
        <f t="shared" si="80"/>
        <v>0</v>
      </c>
      <c r="LG14" s="23"/>
      <c r="LH14" s="2"/>
      <c r="LI14" s="2"/>
      <c r="LJ14" s="24">
        <f t="shared" si="81"/>
        <v>0</v>
      </c>
      <c r="LK14" s="23"/>
      <c r="LL14" s="8">
        <f t="shared" si="82"/>
        <v>0</v>
      </c>
      <c r="LM14" s="2"/>
      <c r="LN14" s="2"/>
      <c r="LO14" s="24">
        <f t="shared" si="83"/>
        <v>0</v>
      </c>
      <c r="LP14" s="23"/>
      <c r="LQ14" s="2"/>
      <c r="LR14" s="2"/>
      <c r="LS14" s="24">
        <f t="shared" si="84"/>
        <v>0</v>
      </c>
      <c r="LT14" s="23"/>
      <c r="LU14" s="2"/>
      <c r="LV14" s="2"/>
      <c r="LW14" s="24">
        <f t="shared" si="85"/>
        <v>0</v>
      </c>
      <c r="LX14" s="23"/>
      <c r="LY14" s="8">
        <f t="shared" si="86"/>
        <v>0</v>
      </c>
      <c r="LZ14" s="2"/>
      <c r="MA14" s="2"/>
      <c r="MB14" s="24">
        <f t="shared" si="87"/>
        <v>0</v>
      </c>
      <c r="MC14" s="23"/>
      <c r="MD14" s="2"/>
      <c r="ME14" s="2"/>
      <c r="MF14" s="24">
        <f t="shared" si="88"/>
        <v>0</v>
      </c>
      <c r="MG14" s="23"/>
      <c r="MH14" s="2"/>
      <c r="MI14" s="2"/>
      <c r="MJ14" s="24">
        <f t="shared" si="89"/>
        <v>0</v>
      </c>
      <c r="MK14" s="23"/>
      <c r="ML14" s="8">
        <f t="shared" si="90"/>
        <v>0</v>
      </c>
      <c r="MM14" s="2"/>
      <c r="MN14" s="2"/>
      <c r="MO14" s="24">
        <f t="shared" si="91"/>
        <v>0</v>
      </c>
      <c r="MP14" s="23"/>
      <c r="MQ14" s="2"/>
      <c r="MR14" s="2"/>
      <c r="MS14" s="24">
        <f t="shared" si="92"/>
        <v>0</v>
      </c>
      <c r="MT14" s="23"/>
      <c r="MU14" s="2"/>
      <c r="MV14" s="2"/>
      <c r="MW14" s="24">
        <f t="shared" si="93"/>
        <v>0</v>
      </c>
      <c r="MX14" s="23"/>
      <c r="MY14" s="8">
        <f t="shared" si="94"/>
        <v>0</v>
      </c>
      <c r="MZ14" s="2"/>
      <c r="NA14" s="2"/>
      <c r="NB14" s="24">
        <f t="shared" si="95"/>
        <v>0</v>
      </c>
      <c r="NC14" s="23"/>
      <c r="ND14" s="2"/>
      <c r="NE14" s="2"/>
      <c r="NF14" s="24">
        <f t="shared" si="96"/>
        <v>0</v>
      </c>
      <c r="NG14" s="23"/>
      <c r="NH14" s="2"/>
      <c r="NI14" s="2"/>
      <c r="NJ14" s="24">
        <f t="shared" si="97"/>
        <v>0</v>
      </c>
      <c r="NK14" s="23"/>
      <c r="NL14" s="8">
        <f t="shared" si="98"/>
        <v>0</v>
      </c>
      <c r="NM14" s="2"/>
      <c r="NN14" s="2"/>
      <c r="NO14" s="24">
        <f t="shared" si="99"/>
        <v>0</v>
      </c>
      <c r="NP14" s="23"/>
      <c r="NQ14" s="2"/>
      <c r="NR14" s="2"/>
      <c r="NS14" s="24">
        <f t="shared" si="100"/>
        <v>0</v>
      </c>
      <c r="NT14" s="23"/>
      <c r="NU14" s="8">
        <f t="shared" si="101"/>
        <v>0</v>
      </c>
      <c r="NV14" s="2"/>
      <c r="NW14" s="2"/>
      <c r="NX14" s="24">
        <f t="shared" si="102"/>
        <v>0</v>
      </c>
      <c r="NY14" s="23"/>
      <c r="NZ14" s="2"/>
      <c r="OA14" s="2"/>
      <c r="OB14" s="24">
        <f t="shared" si="103"/>
        <v>0</v>
      </c>
      <c r="OC14" s="23"/>
      <c r="OD14" s="8">
        <f t="shared" si="104"/>
        <v>0</v>
      </c>
      <c r="OE14" s="2"/>
      <c r="OF14" s="2"/>
      <c r="OG14" s="24">
        <f t="shared" si="105"/>
        <v>0</v>
      </c>
      <c r="OH14" s="23"/>
      <c r="OI14" s="2"/>
      <c r="OJ14" s="2"/>
      <c r="OK14" s="24">
        <f t="shared" si="106"/>
        <v>0</v>
      </c>
      <c r="OL14" s="23"/>
      <c r="OM14" s="8">
        <f t="shared" si="107"/>
        <v>0</v>
      </c>
      <c r="ON14" s="2"/>
      <c r="OO14" s="2"/>
      <c r="OP14" s="24">
        <f t="shared" si="108"/>
        <v>0</v>
      </c>
      <c r="OQ14" s="23"/>
      <c r="OR14" s="2"/>
      <c r="OS14" s="2"/>
      <c r="OT14" s="24">
        <f t="shared" si="109"/>
        <v>0</v>
      </c>
      <c r="OU14" s="23"/>
      <c r="OV14" s="8">
        <f t="shared" si="110"/>
        <v>0</v>
      </c>
      <c r="OW14" s="2"/>
      <c r="OX14" s="2"/>
      <c r="OY14" s="24">
        <f t="shared" si="111"/>
        <v>0</v>
      </c>
      <c r="OZ14" s="23"/>
      <c r="PA14" s="8">
        <f t="shared" si="112"/>
        <v>0</v>
      </c>
      <c r="PB14" s="2"/>
      <c r="PC14" s="2"/>
      <c r="PD14" s="24">
        <f t="shared" si="113"/>
        <v>0</v>
      </c>
      <c r="PE14" s="23"/>
      <c r="PF14" s="8">
        <f t="shared" si="114"/>
        <v>0</v>
      </c>
      <c r="PG14" s="2"/>
      <c r="PH14" s="2"/>
      <c r="PI14" s="24">
        <f t="shared" si="115"/>
        <v>0</v>
      </c>
      <c r="PJ14" s="23"/>
      <c r="PK14" s="2"/>
      <c r="PL14" s="2"/>
      <c r="PM14" s="24">
        <f t="shared" si="116"/>
        <v>0</v>
      </c>
      <c r="PN14" s="23"/>
      <c r="PO14" s="8">
        <f t="shared" si="117"/>
        <v>0</v>
      </c>
      <c r="PP14" s="2"/>
      <c r="PQ14" s="2"/>
      <c r="PR14" s="24">
        <f t="shared" si="118"/>
        <v>0</v>
      </c>
      <c r="PS14" s="23"/>
      <c r="PT14" s="8">
        <f t="shared" si="119"/>
        <v>0</v>
      </c>
      <c r="PU14" s="2"/>
      <c r="PV14" s="2"/>
      <c r="PW14" s="24">
        <f t="shared" si="120"/>
        <v>0</v>
      </c>
      <c r="PX14" s="23"/>
      <c r="PY14" s="8">
        <f t="shared" si="121"/>
        <v>0</v>
      </c>
      <c r="PZ14" s="2"/>
      <c r="QA14" s="2"/>
      <c r="QB14" s="24">
        <f t="shared" si="122"/>
        <v>0</v>
      </c>
      <c r="QC14" s="23"/>
      <c r="QD14" s="8">
        <f t="shared" si="123"/>
        <v>0</v>
      </c>
      <c r="QE14" s="2"/>
      <c r="QF14" s="2"/>
      <c r="QG14" s="24">
        <f t="shared" si="124"/>
        <v>0</v>
      </c>
      <c r="QH14" s="23"/>
      <c r="QI14" s="8">
        <f t="shared" si="125"/>
        <v>0</v>
      </c>
    </row>
    <row r="15" spans="1:451" ht="14.25" customHeight="1" x14ac:dyDescent="0.3">
      <c r="A15" s="5" t="s">
        <v>14</v>
      </c>
      <c r="B15" s="2">
        <v>3</v>
      </c>
      <c r="C15" s="2">
        <v>1</v>
      </c>
      <c r="D15" s="24">
        <f t="shared" si="0"/>
        <v>3</v>
      </c>
      <c r="E15" s="23"/>
      <c r="F15" s="2">
        <v>1</v>
      </c>
      <c r="G15" s="2">
        <v>2</v>
      </c>
      <c r="H15" s="24">
        <f t="shared" si="1"/>
        <v>0</v>
      </c>
      <c r="I15" s="23"/>
      <c r="J15" s="8">
        <f t="shared" si="2"/>
        <v>3</v>
      </c>
      <c r="K15" s="2">
        <v>1</v>
      </c>
      <c r="L15" s="2">
        <v>1</v>
      </c>
      <c r="M15" s="24">
        <f t="shared" si="3"/>
        <v>5</v>
      </c>
      <c r="N15" s="23"/>
      <c r="O15" s="2">
        <v>1</v>
      </c>
      <c r="P15" s="2">
        <v>2</v>
      </c>
      <c r="Q15" s="24">
        <f t="shared" si="4"/>
        <v>0</v>
      </c>
      <c r="R15" s="23"/>
      <c r="S15" s="8">
        <f t="shared" si="5"/>
        <v>5</v>
      </c>
      <c r="T15" s="2">
        <v>0</v>
      </c>
      <c r="U15" s="2">
        <v>4</v>
      </c>
      <c r="V15" s="24">
        <f t="shared" si="6"/>
        <v>0</v>
      </c>
      <c r="W15" s="23"/>
      <c r="X15" s="2">
        <v>3</v>
      </c>
      <c r="Y15" s="2">
        <v>2</v>
      </c>
      <c r="Z15" s="24">
        <f t="shared" si="7"/>
        <v>0</v>
      </c>
      <c r="AA15" s="23"/>
      <c r="AB15" s="2">
        <v>0</v>
      </c>
      <c r="AC15" s="2">
        <v>3</v>
      </c>
      <c r="AD15" s="24">
        <f t="shared" si="8"/>
        <v>4</v>
      </c>
      <c r="AE15" s="23"/>
      <c r="AF15" s="2">
        <v>0</v>
      </c>
      <c r="AG15" s="2">
        <v>2</v>
      </c>
      <c r="AH15" s="24">
        <f t="shared" si="9"/>
        <v>0</v>
      </c>
      <c r="AI15" s="23"/>
      <c r="AJ15" s="8">
        <f t="shared" si="10"/>
        <v>4</v>
      </c>
      <c r="AK15" s="2">
        <v>7</v>
      </c>
      <c r="AL15" s="2">
        <v>0</v>
      </c>
      <c r="AM15" s="24">
        <f t="shared" si="11"/>
        <v>4</v>
      </c>
      <c r="AN15" s="23"/>
      <c r="AO15" s="2">
        <v>0</v>
      </c>
      <c r="AP15" s="2">
        <v>2</v>
      </c>
      <c r="AQ15" s="24">
        <f t="shared" si="12"/>
        <v>1</v>
      </c>
      <c r="AR15" s="23"/>
      <c r="AS15" s="2">
        <v>1</v>
      </c>
      <c r="AT15" s="2">
        <v>0</v>
      </c>
      <c r="AU15" s="24">
        <f t="shared" si="13"/>
        <v>5</v>
      </c>
      <c r="AV15" s="23"/>
      <c r="AW15" s="2">
        <v>3</v>
      </c>
      <c r="AX15" s="2">
        <v>0</v>
      </c>
      <c r="AY15" s="24">
        <f t="shared" si="14"/>
        <v>3</v>
      </c>
      <c r="AZ15" s="23"/>
      <c r="BA15" s="8">
        <f t="shared" si="15"/>
        <v>13</v>
      </c>
      <c r="BB15" s="2">
        <v>3</v>
      </c>
      <c r="BC15" s="2">
        <v>1</v>
      </c>
      <c r="BD15" s="24">
        <f t="shared" si="16"/>
        <v>0</v>
      </c>
      <c r="BE15" s="23"/>
      <c r="BF15" s="2">
        <v>2</v>
      </c>
      <c r="BG15" s="2">
        <v>1</v>
      </c>
      <c r="BH15" s="24">
        <f t="shared" si="17"/>
        <v>1</v>
      </c>
      <c r="BI15" s="23"/>
      <c r="BJ15" s="2">
        <v>0</v>
      </c>
      <c r="BK15" s="2">
        <v>3</v>
      </c>
      <c r="BL15" s="24">
        <f t="shared" si="18"/>
        <v>0</v>
      </c>
      <c r="BM15" s="23"/>
      <c r="BN15" s="2">
        <v>3</v>
      </c>
      <c r="BO15" s="2">
        <v>1</v>
      </c>
      <c r="BP15" s="24">
        <f t="shared" si="19"/>
        <v>0</v>
      </c>
      <c r="BQ15" s="23"/>
      <c r="BR15" s="8">
        <f t="shared" si="20"/>
        <v>1</v>
      </c>
      <c r="BS15" s="2">
        <v>2</v>
      </c>
      <c r="BT15" s="2">
        <v>1</v>
      </c>
      <c r="BU15" s="24">
        <f t="shared" si="21"/>
        <v>4</v>
      </c>
      <c r="BV15" s="23"/>
      <c r="BW15" s="2">
        <v>0</v>
      </c>
      <c r="BX15" s="2">
        <v>4</v>
      </c>
      <c r="BY15" s="24">
        <f t="shared" si="22"/>
        <v>4</v>
      </c>
      <c r="BZ15" s="23"/>
      <c r="CA15" s="2">
        <v>1</v>
      </c>
      <c r="CB15" s="2">
        <v>2</v>
      </c>
      <c r="CC15" s="24">
        <f t="shared" si="23"/>
        <v>0</v>
      </c>
      <c r="CD15" s="23"/>
      <c r="CE15" s="2">
        <v>2</v>
      </c>
      <c r="CF15" s="2">
        <v>0</v>
      </c>
      <c r="CG15" s="24">
        <f t="shared" si="24"/>
        <v>3</v>
      </c>
      <c r="CH15" s="23"/>
      <c r="CI15" s="8">
        <f t="shared" si="25"/>
        <v>11</v>
      </c>
      <c r="CJ15" s="2">
        <v>2</v>
      </c>
      <c r="CK15" s="2">
        <v>0</v>
      </c>
      <c r="CL15" s="24">
        <f t="shared" si="26"/>
        <v>0</v>
      </c>
      <c r="CM15" s="23"/>
      <c r="CN15" s="2">
        <v>2</v>
      </c>
      <c r="CO15" s="2">
        <v>2</v>
      </c>
      <c r="CP15" s="24">
        <f t="shared" si="27"/>
        <v>1</v>
      </c>
      <c r="CQ15" s="23"/>
      <c r="CR15" s="2">
        <v>2</v>
      </c>
      <c r="CS15" s="2">
        <v>0</v>
      </c>
      <c r="CT15" s="24">
        <f t="shared" si="28"/>
        <v>4</v>
      </c>
      <c r="CU15" s="23"/>
      <c r="CV15" s="2">
        <v>0</v>
      </c>
      <c r="CW15" s="2">
        <v>3</v>
      </c>
      <c r="CX15" s="24">
        <f t="shared" si="29"/>
        <v>4</v>
      </c>
      <c r="CY15" s="23"/>
      <c r="CZ15" s="8">
        <f t="shared" si="30"/>
        <v>9</v>
      </c>
      <c r="DA15" s="2">
        <v>2</v>
      </c>
      <c r="DB15" s="2">
        <v>1</v>
      </c>
      <c r="DC15" s="24">
        <f t="shared" si="126"/>
        <v>1</v>
      </c>
      <c r="DD15" s="23"/>
      <c r="DE15" s="2">
        <v>1</v>
      </c>
      <c r="DF15" s="2">
        <v>0</v>
      </c>
      <c r="DG15" s="24">
        <f t="shared" si="127"/>
        <v>3</v>
      </c>
      <c r="DH15" s="23"/>
      <c r="DI15" s="2">
        <v>2</v>
      </c>
      <c r="DJ15" s="2">
        <v>0</v>
      </c>
      <c r="DK15" s="24">
        <f t="shared" si="128"/>
        <v>4</v>
      </c>
      <c r="DL15" s="23"/>
      <c r="DM15" s="2">
        <v>2</v>
      </c>
      <c r="DN15" s="2">
        <v>1</v>
      </c>
      <c r="DO15" s="24">
        <f t="shared" si="129"/>
        <v>3</v>
      </c>
      <c r="DP15" s="23"/>
      <c r="DQ15" s="8">
        <f t="shared" si="31"/>
        <v>11</v>
      </c>
      <c r="DR15" s="2">
        <v>2</v>
      </c>
      <c r="DS15" s="2">
        <v>1</v>
      </c>
      <c r="DT15" s="24">
        <f t="shared" si="130"/>
        <v>4</v>
      </c>
      <c r="DU15" s="23"/>
      <c r="DV15" s="2">
        <v>0</v>
      </c>
      <c r="DW15" s="2">
        <v>2</v>
      </c>
      <c r="DX15" s="24">
        <f t="shared" si="131"/>
        <v>4</v>
      </c>
      <c r="DY15" s="23"/>
      <c r="DZ15" s="2">
        <v>3</v>
      </c>
      <c r="EA15" s="2">
        <v>0</v>
      </c>
      <c r="EB15" s="24">
        <f t="shared" si="132"/>
        <v>5</v>
      </c>
      <c r="EC15" s="23"/>
      <c r="ED15" s="2">
        <v>1</v>
      </c>
      <c r="EE15" s="2">
        <v>1</v>
      </c>
      <c r="EF15" s="24">
        <f t="shared" si="133"/>
        <v>1</v>
      </c>
      <c r="EG15" s="23"/>
      <c r="EH15" s="8">
        <f t="shared" si="32"/>
        <v>14</v>
      </c>
      <c r="EI15" s="2">
        <v>2</v>
      </c>
      <c r="EJ15" s="2">
        <v>2</v>
      </c>
      <c r="EK15" s="24">
        <f t="shared" si="33"/>
        <v>0</v>
      </c>
      <c r="EL15" s="23"/>
      <c r="EM15" s="2">
        <v>2</v>
      </c>
      <c r="EN15" s="2">
        <v>0</v>
      </c>
      <c r="EO15" s="24">
        <f t="shared" si="34"/>
        <v>4</v>
      </c>
      <c r="EP15" s="23"/>
      <c r="EQ15" s="2">
        <v>3</v>
      </c>
      <c r="ER15" s="2">
        <v>0</v>
      </c>
      <c r="ES15" s="24">
        <f t="shared" si="35"/>
        <v>1</v>
      </c>
      <c r="ET15" s="23"/>
      <c r="EU15" s="2">
        <v>1</v>
      </c>
      <c r="EV15" s="2">
        <v>3</v>
      </c>
      <c r="EW15" s="24">
        <f t="shared" si="36"/>
        <v>3</v>
      </c>
      <c r="EX15" s="23"/>
      <c r="EY15" s="8">
        <f t="shared" si="37"/>
        <v>8</v>
      </c>
      <c r="EZ15" s="2">
        <v>3</v>
      </c>
      <c r="FA15" s="2">
        <v>1</v>
      </c>
      <c r="FB15" s="24"/>
      <c r="FC15" s="23"/>
      <c r="FD15" s="2">
        <v>4</v>
      </c>
      <c r="FE15" s="2">
        <v>1</v>
      </c>
      <c r="FF15" s="24"/>
      <c r="FG15" s="23"/>
      <c r="FH15" s="2">
        <v>2</v>
      </c>
      <c r="FI15" s="2">
        <v>0</v>
      </c>
      <c r="FJ15" s="24"/>
      <c r="FK15" s="23"/>
      <c r="FL15" s="2">
        <v>1</v>
      </c>
      <c r="FM15" s="2">
        <v>2</v>
      </c>
      <c r="FN15" s="24"/>
      <c r="FO15" s="23"/>
      <c r="FP15" s="8">
        <f t="shared" si="38"/>
        <v>0</v>
      </c>
      <c r="FQ15" s="2"/>
      <c r="FR15" s="2"/>
      <c r="FS15" s="24">
        <f t="shared" si="39"/>
        <v>0</v>
      </c>
      <c r="FT15" s="23"/>
      <c r="FU15" s="2"/>
      <c r="FV15" s="2"/>
      <c r="FW15" s="24">
        <f t="shared" si="40"/>
        <v>0</v>
      </c>
      <c r="FX15" s="23"/>
      <c r="FY15" s="2"/>
      <c r="FZ15" s="2"/>
      <c r="GA15" s="24">
        <f t="shared" si="41"/>
        <v>0</v>
      </c>
      <c r="GB15" s="23"/>
      <c r="GC15" s="2"/>
      <c r="GD15" s="2"/>
      <c r="GE15" s="24">
        <f t="shared" si="42"/>
        <v>0</v>
      </c>
      <c r="GF15" s="23"/>
      <c r="GG15" s="8">
        <f t="shared" si="43"/>
        <v>0</v>
      </c>
      <c r="GH15" s="2"/>
      <c r="GI15" s="2"/>
      <c r="GJ15" s="24">
        <f t="shared" si="44"/>
        <v>0</v>
      </c>
      <c r="GK15" s="23"/>
      <c r="GL15" s="2"/>
      <c r="GM15" s="2"/>
      <c r="GN15" s="24">
        <f t="shared" si="45"/>
        <v>0</v>
      </c>
      <c r="GO15" s="23"/>
      <c r="GP15" s="2"/>
      <c r="GQ15" s="2"/>
      <c r="GR15" s="24">
        <f t="shared" si="46"/>
        <v>0</v>
      </c>
      <c r="GS15" s="23"/>
      <c r="GT15" s="2"/>
      <c r="GU15" s="2"/>
      <c r="GV15" s="24">
        <f t="shared" si="47"/>
        <v>0</v>
      </c>
      <c r="GW15" s="23"/>
      <c r="GX15" s="8">
        <f t="shared" si="48"/>
        <v>0</v>
      </c>
      <c r="GY15" s="2"/>
      <c r="GZ15" s="2"/>
      <c r="HA15" s="24">
        <f t="shared" si="49"/>
        <v>0</v>
      </c>
      <c r="HB15" s="23"/>
      <c r="HC15" s="2"/>
      <c r="HD15" s="2"/>
      <c r="HE15" s="24">
        <f t="shared" si="50"/>
        <v>0</v>
      </c>
      <c r="HF15" s="23"/>
      <c r="HG15" s="2"/>
      <c r="HH15" s="2"/>
      <c r="HI15" s="24">
        <f t="shared" si="51"/>
        <v>0</v>
      </c>
      <c r="HJ15" s="23"/>
      <c r="HK15" s="2"/>
      <c r="HL15" s="2"/>
      <c r="HM15" s="24">
        <f t="shared" si="52"/>
        <v>0</v>
      </c>
      <c r="HN15" s="23"/>
      <c r="HO15" s="2"/>
      <c r="HP15" s="2"/>
      <c r="HQ15" s="24">
        <f t="shared" si="53"/>
        <v>0</v>
      </c>
      <c r="HR15" s="23"/>
      <c r="HS15" s="2"/>
      <c r="HT15" s="2"/>
      <c r="HU15" s="24">
        <f t="shared" si="54"/>
        <v>0</v>
      </c>
      <c r="HV15" s="23"/>
      <c r="HW15" s="8">
        <f t="shared" si="55"/>
        <v>0</v>
      </c>
      <c r="HX15" s="2"/>
      <c r="HY15" s="2"/>
      <c r="HZ15" s="24">
        <f t="shared" si="56"/>
        <v>0</v>
      </c>
      <c r="IA15" s="23"/>
      <c r="IB15" s="2"/>
      <c r="IC15" s="2"/>
      <c r="ID15" s="24">
        <f t="shared" si="57"/>
        <v>0</v>
      </c>
      <c r="IE15" s="23"/>
      <c r="IF15" s="2"/>
      <c r="IG15" s="2"/>
      <c r="IH15" s="24">
        <f t="shared" si="58"/>
        <v>0</v>
      </c>
      <c r="II15" s="23"/>
      <c r="IJ15" s="2"/>
      <c r="IK15" s="2"/>
      <c r="IL15" s="24">
        <f t="shared" si="59"/>
        <v>0</v>
      </c>
      <c r="IM15" s="23"/>
      <c r="IN15" s="2"/>
      <c r="IO15" s="2"/>
      <c r="IP15" s="24">
        <f t="shared" si="60"/>
        <v>0</v>
      </c>
      <c r="IQ15" s="23"/>
      <c r="IR15" s="2"/>
      <c r="IS15" s="2"/>
      <c r="IT15" s="24">
        <f t="shared" si="61"/>
        <v>0</v>
      </c>
      <c r="IU15" s="23"/>
      <c r="IV15" s="8">
        <f t="shared" si="62"/>
        <v>0</v>
      </c>
      <c r="IW15" s="2"/>
      <c r="IX15" s="2"/>
      <c r="IY15" s="24">
        <f t="shared" si="63"/>
        <v>0</v>
      </c>
      <c r="IZ15" s="23"/>
      <c r="JA15" s="2"/>
      <c r="JB15" s="2"/>
      <c r="JC15" s="24">
        <f t="shared" si="64"/>
        <v>0</v>
      </c>
      <c r="JD15" s="23"/>
      <c r="JE15" s="2"/>
      <c r="JF15" s="2"/>
      <c r="JG15" s="24">
        <f t="shared" si="65"/>
        <v>0</v>
      </c>
      <c r="JH15" s="23"/>
      <c r="JI15" s="2"/>
      <c r="JJ15" s="2"/>
      <c r="JK15" s="24">
        <f t="shared" si="66"/>
        <v>0</v>
      </c>
      <c r="JL15" s="23"/>
      <c r="JM15" s="2"/>
      <c r="JN15" s="2"/>
      <c r="JO15" s="24">
        <f t="shared" si="67"/>
        <v>0</v>
      </c>
      <c r="JP15" s="23"/>
      <c r="JQ15" s="2"/>
      <c r="JR15" s="2"/>
      <c r="JS15" s="24">
        <f t="shared" si="68"/>
        <v>0</v>
      </c>
      <c r="JT15" s="23"/>
      <c r="JU15" s="8">
        <f t="shared" si="69"/>
        <v>0</v>
      </c>
      <c r="JV15" s="2"/>
      <c r="JW15" s="2"/>
      <c r="JX15" s="24">
        <f t="shared" si="70"/>
        <v>0</v>
      </c>
      <c r="JY15" s="23"/>
      <c r="JZ15" s="2"/>
      <c r="KA15" s="2"/>
      <c r="KB15" s="24">
        <f t="shared" si="71"/>
        <v>0</v>
      </c>
      <c r="KC15" s="23"/>
      <c r="KD15" s="2"/>
      <c r="KE15" s="2"/>
      <c r="KF15" s="24">
        <f t="shared" si="72"/>
        <v>0</v>
      </c>
      <c r="KG15" s="23"/>
      <c r="KH15" s="2"/>
      <c r="KI15" s="2"/>
      <c r="KJ15" s="24">
        <f t="shared" si="73"/>
        <v>0</v>
      </c>
      <c r="KK15" s="23"/>
      <c r="KL15" s="2"/>
      <c r="KM15" s="2"/>
      <c r="KN15" s="24">
        <f t="shared" si="74"/>
        <v>0</v>
      </c>
      <c r="KO15" s="23"/>
      <c r="KP15" s="2"/>
      <c r="KQ15" s="2"/>
      <c r="KR15" s="24">
        <f t="shared" si="75"/>
        <v>0</v>
      </c>
      <c r="KS15" s="23"/>
      <c r="KT15" s="8">
        <f t="shared" si="76"/>
        <v>0</v>
      </c>
      <c r="KU15" s="2"/>
      <c r="KV15" s="2"/>
      <c r="KW15" s="24">
        <f t="shared" si="77"/>
        <v>0</v>
      </c>
      <c r="KX15" s="23"/>
      <c r="KY15" s="8">
        <f t="shared" si="78"/>
        <v>0</v>
      </c>
      <c r="KZ15" s="2"/>
      <c r="LA15" s="2"/>
      <c r="LB15" s="24">
        <f t="shared" si="79"/>
        <v>0</v>
      </c>
      <c r="LC15" s="23"/>
      <c r="LD15" s="2"/>
      <c r="LE15" s="2"/>
      <c r="LF15" s="24">
        <f t="shared" si="80"/>
        <v>0</v>
      </c>
      <c r="LG15" s="23"/>
      <c r="LH15" s="2"/>
      <c r="LI15" s="2"/>
      <c r="LJ15" s="24">
        <f t="shared" si="81"/>
        <v>0</v>
      </c>
      <c r="LK15" s="23"/>
      <c r="LL15" s="8">
        <f t="shared" si="82"/>
        <v>0</v>
      </c>
      <c r="LM15" s="2"/>
      <c r="LN15" s="2"/>
      <c r="LO15" s="24">
        <f t="shared" si="83"/>
        <v>0</v>
      </c>
      <c r="LP15" s="23"/>
      <c r="LQ15" s="2"/>
      <c r="LR15" s="2"/>
      <c r="LS15" s="24">
        <f t="shared" si="84"/>
        <v>0</v>
      </c>
      <c r="LT15" s="23"/>
      <c r="LU15" s="2"/>
      <c r="LV15" s="2"/>
      <c r="LW15" s="24">
        <f t="shared" si="85"/>
        <v>0</v>
      </c>
      <c r="LX15" s="23"/>
      <c r="LY15" s="8">
        <f t="shared" si="86"/>
        <v>0</v>
      </c>
      <c r="LZ15" s="2"/>
      <c r="MA15" s="2"/>
      <c r="MB15" s="24">
        <f t="shared" si="87"/>
        <v>0</v>
      </c>
      <c r="MC15" s="23"/>
      <c r="MD15" s="2"/>
      <c r="ME15" s="2"/>
      <c r="MF15" s="24">
        <f t="shared" si="88"/>
        <v>0</v>
      </c>
      <c r="MG15" s="23"/>
      <c r="MH15" s="2"/>
      <c r="MI15" s="2"/>
      <c r="MJ15" s="24">
        <f t="shared" si="89"/>
        <v>0</v>
      </c>
      <c r="MK15" s="23"/>
      <c r="ML15" s="8">
        <f t="shared" si="90"/>
        <v>0</v>
      </c>
      <c r="MM15" s="2"/>
      <c r="MN15" s="2"/>
      <c r="MO15" s="24">
        <f t="shared" si="91"/>
        <v>0</v>
      </c>
      <c r="MP15" s="23"/>
      <c r="MQ15" s="2"/>
      <c r="MR15" s="2"/>
      <c r="MS15" s="24">
        <f t="shared" si="92"/>
        <v>0</v>
      </c>
      <c r="MT15" s="23"/>
      <c r="MU15" s="2"/>
      <c r="MV15" s="2"/>
      <c r="MW15" s="24">
        <f t="shared" si="93"/>
        <v>0</v>
      </c>
      <c r="MX15" s="23"/>
      <c r="MY15" s="8">
        <f t="shared" si="94"/>
        <v>0</v>
      </c>
      <c r="MZ15" s="2"/>
      <c r="NA15" s="2"/>
      <c r="NB15" s="24">
        <f t="shared" si="95"/>
        <v>0</v>
      </c>
      <c r="NC15" s="23"/>
      <c r="ND15" s="2"/>
      <c r="NE15" s="2"/>
      <c r="NF15" s="24">
        <f t="shared" si="96"/>
        <v>0</v>
      </c>
      <c r="NG15" s="23"/>
      <c r="NH15" s="2"/>
      <c r="NI15" s="2"/>
      <c r="NJ15" s="24">
        <f t="shared" si="97"/>
        <v>0</v>
      </c>
      <c r="NK15" s="23"/>
      <c r="NL15" s="8">
        <f t="shared" si="98"/>
        <v>0</v>
      </c>
      <c r="NM15" s="2"/>
      <c r="NN15" s="2"/>
      <c r="NO15" s="24">
        <f t="shared" si="99"/>
        <v>0</v>
      </c>
      <c r="NP15" s="23"/>
      <c r="NQ15" s="2"/>
      <c r="NR15" s="2"/>
      <c r="NS15" s="24">
        <f t="shared" si="100"/>
        <v>0</v>
      </c>
      <c r="NT15" s="23"/>
      <c r="NU15" s="8">
        <f t="shared" si="101"/>
        <v>0</v>
      </c>
      <c r="NV15" s="2"/>
      <c r="NW15" s="2"/>
      <c r="NX15" s="24">
        <f t="shared" si="102"/>
        <v>0</v>
      </c>
      <c r="NY15" s="23"/>
      <c r="NZ15" s="2"/>
      <c r="OA15" s="2"/>
      <c r="OB15" s="24">
        <f t="shared" si="103"/>
        <v>0</v>
      </c>
      <c r="OC15" s="23"/>
      <c r="OD15" s="8">
        <f t="shared" si="104"/>
        <v>0</v>
      </c>
      <c r="OE15" s="2"/>
      <c r="OF15" s="2"/>
      <c r="OG15" s="24">
        <f t="shared" si="105"/>
        <v>0</v>
      </c>
      <c r="OH15" s="23"/>
      <c r="OI15" s="2"/>
      <c r="OJ15" s="2"/>
      <c r="OK15" s="24">
        <f t="shared" si="106"/>
        <v>0</v>
      </c>
      <c r="OL15" s="23"/>
      <c r="OM15" s="8">
        <f t="shared" si="107"/>
        <v>0</v>
      </c>
      <c r="ON15" s="2"/>
      <c r="OO15" s="2"/>
      <c r="OP15" s="24">
        <f t="shared" si="108"/>
        <v>0</v>
      </c>
      <c r="OQ15" s="23"/>
      <c r="OR15" s="2"/>
      <c r="OS15" s="2"/>
      <c r="OT15" s="24">
        <f t="shared" si="109"/>
        <v>0</v>
      </c>
      <c r="OU15" s="23"/>
      <c r="OV15" s="8">
        <f t="shared" si="110"/>
        <v>0</v>
      </c>
      <c r="OW15" s="2"/>
      <c r="OX15" s="2"/>
      <c r="OY15" s="24">
        <f t="shared" si="111"/>
        <v>0</v>
      </c>
      <c r="OZ15" s="23"/>
      <c r="PA15" s="8">
        <f t="shared" si="112"/>
        <v>0</v>
      </c>
      <c r="PB15" s="2"/>
      <c r="PC15" s="2"/>
      <c r="PD15" s="24">
        <f t="shared" si="113"/>
        <v>0</v>
      </c>
      <c r="PE15" s="23"/>
      <c r="PF15" s="8">
        <f t="shared" si="114"/>
        <v>0</v>
      </c>
      <c r="PG15" s="2"/>
      <c r="PH15" s="2"/>
      <c r="PI15" s="24">
        <f t="shared" si="115"/>
        <v>0</v>
      </c>
      <c r="PJ15" s="23"/>
      <c r="PK15" s="2"/>
      <c r="PL15" s="2"/>
      <c r="PM15" s="24">
        <f t="shared" si="116"/>
        <v>0</v>
      </c>
      <c r="PN15" s="23"/>
      <c r="PO15" s="8">
        <f t="shared" si="117"/>
        <v>0</v>
      </c>
      <c r="PP15" s="2"/>
      <c r="PQ15" s="2"/>
      <c r="PR15" s="24">
        <f t="shared" si="118"/>
        <v>0</v>
      </c>
      <c r="PS15" s="23"/>
      <c r="PT15" s="8">
        <f t="shared" si="119"/>
        <v>0</v>
      </c>
      <c r="PU15" s="2"/>
      <c r="PV15" s="2"/>
      <c r="PW15" s="24">
        <f t="shared" si="120"/>
        <v>0</v>
      </c>
      <c r="PX15" s="23"/>
      <c r="PY15" s="8">
        <f t="shared" si="121"/>
        <v>0</v>
      </c>
      <c r="PZ15" s="2"/>
      <c r="QA15" s="2"/>
      <c r="QB15" s="24">
        <f t="shared" si="122"/>
        <v>0</v>
      </c>
      <c r="QC15" s="23"/>
      <c r="QD15" s="8">
        <f t="shared" si="123"/>
        <v>0</v>
      </c>
      <c r="QE15" s="2"/>
      <c r="QF15" s="2"/>
      <c r="QG15" s="24">
        <f t="shared" si="124"/>
        <v>0</v>
      </c>
      <c r="QH15" s="23"/>
      <c r="QI15" s="8">
        <f t="shared" si="125"/>
        <v>0</v>
      </c>
    </row>
    <row r="16" spans="1:451" ht="14.25" customHeight="1" x14ac:dyDescent="0.3">
      <c r="A16" s="5" t="s">
        <v>15</v>
      </c>
      <c r="B16" s="2">
        <v>2</v>
      </c>
      <c r="C16" s="2">
        <v>0</v>
      </c>
      <c r="D16" s="24">
        <f t="shared" si="0"/>
        <v>5</v>
      </c>
      <c r="E16" s="23"/>
      <c r="F16" s="2">
        <v>2</v>
      </c>
      <c r="G16" s="2">
        <v>1</v>
      </c>
      <c r="H16" s="24">
        <f t="shared" si="1"/>
        <v>5</v>
      </c>
      <c r="I16" s="23"/>
      <c r="J16" s="8">
        <f t="shared" si="2"/>
        <v>10</v>
      </c>
      <c r="K16" s="2">
        <v>1</v>
      </c>
      <c r="L16" s="2">
        <v>2</v>
      </c>
      <c r="M16" s="24">
        <f t="shared" si="3"/>
        <v>1</v>
      </c>
      <c r="N16" s="23"/>
      <c r="O16" s="2">
        <v>1</v>
      </c>
      <c r="P16" s="2">
        <v>2</v>
      </c>
      <c r="Q16" s="24">
        <f t="shared" si="4"/>
        <v>0</v>
      </c>
      <c r="R16" s="23"/>
      <c r="S16" s="8">
        <f t="shared" si="5"/>
        <v>1</v>
      </c>
      <c r="T16" s="2">
        <v>0</v>
      </c>
      <c r="U16" s="2">
        <v>2</v>
      </c>
      <c r="V16" s="24">
        <f t="shared" si="6"/>
        <v>0</v>
      </c>
      <c r="W16" s="23"/>
      <c r="X16" s="2">
        <v>2</v>
      </c>
      <c r="Y16" s="2">
        <v>1</v>
      </c>
      <c r="Z16" s="24">
        <f t="shared" si="7"/>
        <v>1</v>
      </c>
      <c r="AA16" s="23"/>
      <c r="AB16" s="2">
        <v>0</v>
      </c>
      <c r="AC16" s="2">
        <v>3</v>
      </c>
      <c r="AD16" s="24">
        <f t="shared" si="8"/>
        <v>4</v>
      </c>
      <c r="AE16" s="23"/>
      <c r="AF16" s="2">
        <v>1</v>
      </c>
      <c r="AG16" s="2">
        <v>2</v>
      </c>
      <c r="AH16" s="24">
        <f t="shared" si="9"/>
        <v>0</v>
      </c>
      <c r="AI16" s="23"/>
      <c r="AJ16" s="8">
        <f t="shared" si="10"/>
        <v>5</v>
      </c>
      <c r="AK16" s="2">
        <v>5</v>
      </c>
      <c r="AL16" s="2">
        <v>0</v>
      </c>
      <c r="AM16" s="24">
        <f t="shared" si="11"/>
        <v>3</v>
      </c>
      <c r="AN16" s="23"/>
      <c r="AO16" s="2">
        <v>2</v>
      </c>
      <c r="AP16" s="2">
        <v>0</v>
      </c>
      <c r="AQ16" s="24">
        <f t="shared" si="12"/>
        <v>1</v>
      </c>
      <c r="AR16" s="23"/>
      <c r="AS16" s="2">
        <v>1</v>
      </c>
      <c r="AT16" s="2">
        <v>2</v>
      </c>
      <c r="AU16" s="24">
        <f t="shared" si="13"/>
        <v>1</v>
      </c>
      <c r="AV16" s="23"/>
      <c r="AW16" s="2">
        <v>2</v>
      </c>
      <c r="AX16" s="2">
        <v>0</v>
      </c>
      <c r="AY16" s="24">
        <f t="shared" si="14"/>
        <v>3</v>
      </c>
      <c r="AZ16" s="23"/>
      <c r="BA16" s="8">
        <f t="shared" si="15"/>
        <v>8</v>
      </c>
      <c r="BB16" s="2">
        <v>6</v>
      </c>
      <c r="BC16" s="2">
        <v>0</v>
      </c>
      <c r="BD16" s="24">
        <f t="shared" si="16"/>
        <v>1</v>
      </c>
      <c r="BE16" s="23"/>
      <c r="BF16" s="2">
        <v>3</v>
      </c>
      <c r="BG16" s="2">
        <v>1</v>
      </c>
      <c r="BH16" s="24">
        <f t="shared" si="17"/>
        <v>1</v>
      </c>
      <c r="BI16" s="23"/>
      <c r="BJ16" s="2">
        <v>0</v>
      </c>
      <c r="BK16" s="2">
        <v>2</v>
      </c>
      <c r="BL16" s="24">
        <f t="shared" si="18"/>
        <v>0</v>
      </c>
      <c r="BM16" s="23"/>
      <c r="BN16" s="2">
        <v>2</v>
      </c>
      <c r="BO16" s="2">
        <v>1</v>
      </c>
      <c r="BP16" s="24">
        <f t="shared" si="19"/>
        <v>1</v>
      </c>
      <c r="BQ16" s="23"/>
      <c r="BR16" s="8">
        <f t="shared" si="20"/>
        <v>3</v>
      </c>
      <c r="BS16" s="2">
        <v>2</v>
      </c>
      <c r="BT16" s="2">
        <v>0</v>
      </c>
      <c r="BU16" s="24">
        <f t="shared" si="21"/>
        <v>3</v>
      </c>
      <c r="BV16" s="23"/>
      <c r="BW16" s="2">
        <v>0</v>
      </c>
      <c r="BX16" s="2">
        <v>3</v>
      </c>
      <c r="BY16" s="24">
        <f t="shared" si="22"/>
        <v>3</v>
      </c>
      <c r="BZ16" s="23"/>
      <c r="CA16" s="2">
        <v>2</v>
      </c>
      <c r="CB16" s="2">
        <v>0</v>
      </c>
      <c r="CC16" s="24">
        <f t="shared" si="23"/>
        <v>4</v>
      </c>
      <c r="CD16" s="23"/>
      <c r="CE16" s="2">
        <v>2</v>
      </c>
      <c r="CF16" s="2">
        <v>1</v>
      </c>
      <c r="CG16" s="24">
        <f t="shared" si="24"/>
        <v>4</v>
      </c>
      <c r="CH16" s="23"/>
      <c r="CI16" s="8">
        <f t="shared" si="25"/>
        <v>14</v>
      </c>
      <c r="CJ16" s="2">
        <v>2</v>
      </c>
      <c r="CK16" s="2">
        <v>0</v>
      </c>
      <c r="CL16" s="24">
        <f t="shared" si="26"/>
        <v>0</v>
      </c>
      <c r="CM16" s="23"/>
      <c r="CN16" s="2">
        <v>2</v>
      </c>
      <c r="CO16" s="2">
        <v>1</v>
      </c>
      <c r="CP16" s="24">
        <f t="shared" si="27"/>
        <v>3</v>
      </c>
      <c r="CQ16" s="23"/>
      <c r="CR16" s="2">
        <v>3</v>
      </c>
      <c r="CS16" s="2">
        <v>1</v>
      </c>
      <c r="CT16" s="24">
        <f t="shared" si="28"/>
        <v>3</v>
      </c>
      <c r="CU16" s="23"/>
      <c r="CV16" s="2">
        <v>0</v>
      </c>
      <c r="CW16" s="2">
        <v>2</v>
      </c>
      <c r="CX16" s="24">
        <f t="shared" si="29"/>
        <v>3</v>
      </c>
      <c r="CY16" s="23"/>
      <c r="CZ16" s="8">
        <f t="shared" si="30"/>
        <v>9</v>
      </c>
      <c r="DA16" s="2">
        <v>2</v>
      </c>
      <c r="DB16" s="2">
        <v>0</v>
      </c>
      <c r="DC16" s="24">
        <f t="shared" si="126"/>
        <v>0</v>
      </c>
      <c r="DD16" s="23"/>
      <c r="DE16" s="2">
        <v>2</v>
      </c>
      <c r="DF16" s="2">
        <v>1</v>
      </c>
      <c r="DG16" s="24">
        <f t="shared" si="127"/>
        <v>4</v>
      </c>
      <c r="DH16" s="23"/>
      <c r="DI16" s="2">
        <v>2</v>
      </c>
      <c r="DJ16" s="2">
        <v>0</v>
      </c>
      <c r="DK16" s="24">
        <f t="shared" si="128"/>
        <v>4</v>
      </c>
      <c r="DL16" s="23"/>
      <c r="DM16" s="2">
        <v>1</v>
      </c>
      <c r="DN16" s="2">
        <v>2</v>
      </c>
      <c r="DO16" s="24">
        <f t="shared" si="129"/>
        <v>1</v>
      </c>
      <c r="DP16" s="23"/>
      <c r="DQ16" s="8">
        <f t="shared" si="31"/>
        <v>9</v>
      </c>
      <c r="DR16" s="2">
        <v>3</v>
      </c>
      <c r="DS16" s="2">
        <v>1</v>
      </c>
      <c r="DT16" s="24">
        <f t="shared" si="130"/>
        <v>3</v>
      </c>
      <c r="DU16" s="23"/>
      <c r="DV16" s="2">
        <v>1</v>
      </c>
      <c r="DW16" s="2">
        <v>3</v>
      </c>
      <c r="DX16" s="24">
        <f t="shared" si="131"/>
        <v>3</v>
      </c>
      <c r="DY16" s="23"/>
      <c r="DZ16" s="2">
        <v>5</v>
      </c>
      <c r="EA16" s="2">
        <v>0</v>
      </c>
      <c r="EB16" s="24">
        <f t="shared" si="132"/>
        <v>4</v>
      </c>
      <c r="EC16" s="23"/>
      <c r="ED16" s="2">
        <v>2</v>
      </c>
      <c r="EE16" s="2">
        <v>1</v>
      </c>
      <c r="EF16" s="24">
        <f t="shared" si="133"/>
        <v>1</v>
      </c>
      <c r="EG16" s="23"/>
      <c r="EH16" s="8">
        <f t="shared" si="32"/>
        <v>11</v>
      </c>
      <c r="EI16" s="2">
        <v>2</v>
      </c>
      <c r="EJ16" s="2">
        <v>2</v>
      </c>
      <c r="EK16" s="24">
        <f t="shared" si="33"/>
        <v>0</v>
      </c>
      <c r="EL16" s="23"/>
      <c r="EM16" s="2">
        <v>2</v>
      </c>
      <c r="EN16" s="2">
        <v>0</v>
      </c>
      <c r="EO16" s="24">
        <f t="shared" si="34"/>
        <v>4</v>
      </c>
      <c r="EP16" s="23"/>
      <c r="EQ16" s="2">
        <v>4</v>
      </c>
      <c r="ER16" s="2">
        <v>0</v>
      </c>
      <c r="ES16" s="24">
        <f t="shared" si="35"/>
        <v>1</v>
      </c>
      <c r="ET16" s="23"/>
      <c r="EU16" s="2">
        <v>0</v>
      </c>
      <c r="EV16" s="2">
        <v>2</v>
      </c>
      <c r="EW16" s="24">
        <f t="shared" si="36"/>
        <v>4</v>
      </c>
      <c r="EX16" s="23"/>
      <c r="EY16" s="8">
        <f t="shared" si="37"/>
        <v>9</v>
      </c>
      <c r="EZ16" s="2">
        <v>3</v>
      </c>
      <c r="FA16" s="2">
        <v>0</v>
      </c>
      <c r="FB16" s="24"/>
      <c r="FC16" s="23"/>
      <c r="FD16" s="2">
        <v>3</v>
      </c>
      <c r="FE16" s="2">
        <v>1</v>
      </c>
      <c r="FF16" s="24"/>
      <c r="FG16" s="23"/>
      <c r="FH16" s="2">
        <v>2</v>
      </c>
      <c r="FI16" s="2">
        <v>0</v>
      </c>
      <c r="FJ16" s="24"/>
      <c r="FK16" s="23"/>
      <c r="FL16" s="2">
        <v>0</v>
      </c>
      <c r="FM16" s="2">
        <v>2</v>
      </c>
      <c r="FN16" s="24"/>
      <c r="FO16" s="23"/>
      <c r="FP16" s="8">
        <f t="shared" si="38"/>
        <v>0</v>
      </c>
      <c r="FQ16" s="2"/>
      <c r="FR16" s="2"/>
      <c r="FS16" s="24">
        <f t="shared" si="39"/>
        <v>0</v>
      </c>
      <c r="FT16" s="23"/>
      <c r="FU16" s="2"/>
      <c r="FV16" s="2"/>
      <c r="FW16" s="24">
        <f t="shared" si="40"/>
        <v>0</v>
      </c>
      <c r="FX16" s="23"/>
      <c r="FY16" s="2"/>
      <c r="FZ16" s="2"/>
      <c r="GA16" s="24">
        <f t="shared" si="41"/>
        <v>0</v>
      </c>
      <c r="GB16" s="23"/>
      <c r="GC16" s="2"/>
      <c r="GD16" s="2"/>
      <c r="GE16" s="24">
        <f t="shared" si="42"/>
        <v>0</v>
      </c>
      <c r="GF16" s="23"/>
      <c r="GG16" s="8">
        <f t="shared" si="43"/>
        <v>0</v>
      </c>
      <c r="GH16" s="2"/>
      <c r="GI16" s="2"/>
      <c r="GJ16" s="24">
        <f t="shared" si="44"/>
        <v>0</v>
      </c>
      <c r="GK16" s="23"/>
      <c r="GL16" s="2"/>
      <c r="GM16" s="2"/>
      <c r="GN16" s="24">
        <f t="shared" si="45"/>
        <v>0</v>
      </c>
      <c r="GO16" s="23"/>
      <c r="GP16" s="2"/>
      <c r="GQ16" s="2"/>
      <c r="GR16" s="24">
        <f t="shared" si="46"/>
        <v>0</v>
      </c>
      <c r="GS16" s="23"/>
      <c r="GT16" s="2"/>
      <c r="GU16" s="2"/>
      <c r="GV16" s="24">
        <f t="shared" si="47"/>
        <v>0</v>
      </c>
      <c r="GW16" s="23"/>
      <c r="GX16" s="8">
        <f t="shared" si="48"/>
        <v>0</v>
      </c>
      <c r="GY16" s="2"/>
      <c r="GZ16" s="2"/>
      <c r="HA16" s="24">
        <f t="shared" si="49"/>
        <v>0</v>
      </c>
      <c r="HB16" s="23"/>
      <c r="HC16" s="2"/>
      <c r="HD16" s="2"/>
      <c r="HE16" s="24">
        <f t="shared" si="50"/>
        <v>0</v>
      </c>
      <c r="HF16" s="23"/>
      <c r="HG16" s="2"/>
      <c r="HH16" s="2"/>
      <c r="HI16" s="24">
        <f t="shared" si="51"/>
        <v>0</v>
      </c>
      <c r="HJ16" s="23"/>
      <c r="HK16" s="2"/>
      <c r="HL16" s="2"/>
      <c r="HM16" s="24">
        <f t="shared" si="52"/>
        <v>0</v>
      </c>
      <c r="HN16" s="23"/>
      <c r="HO16" s="2"/>
      <c r="HP16" s="2"/>
      <c r="HQ16" s="24">
        <f t="shared" si="53"/>
        <v>0</v>
      </c>
      <c r="HR16" s="23"/>
      <c r="HS16" s="2"/>
      <c r="HT16" s="2"/>
      <c r="HU16" s="24">
        <f t="shared" si="54"/>
        <v>0</v>
      </c>
      <c r="HV16" s="23"/>
      <c r="HW16" s="8">
        <f t="shared" si="55"/>
        <v>0</v>
      </c>
      <c r="HX16" s="2"/>
      <c r="HY16" s="2"/>
      <c r="HZ16" s="24">
        <f t="shared" si="56"/>
        <v>0</v>
      </c>
      <c r="IA16" s="23"/>
      <c r="IB16" s="2"/>
      <c r="IC16" s="2"/>
      <c r="ID16" s="24">
        <f t="shared" si="57"/>
        <v>0</v>
      </c>
      <c r="IE16" s="23"/>
      <c r="IF16" s="2"/>
      <c r="IG16" s="2"/>
      <c r="IH16" s="24">
        <f t="shared" si="58"/>
        <v>0</v>
      </c>
      <c r="II16" s="23"/>
      <c r="IJ16" s="2"/>
      <c r="IK16" s="2"/>
      <c r="IL16" s="24">
        <f t="shared" si="59"/>
        <v>0</v>
      </c>
      <c r="IM16" s="23"/>
      <c r="IN16" s="2"/>
      <c r="IO16" s="2"/>
      <c r="IP16" s="24">
        <f t="shared" si="60"/>
        <v>0</v>
      </c>
      <c r="IQ16" s="23"/>
      <c r="IR16" s="2"/>
      <c r="IS16" s="2"/>
      <c r="IT16" s="24">
        <f t="shared" si="61"/>
        <v>0</v>
      </c>
      <c r="IU16" s="23"/>
      <c r="IV16" s="8">
        <f t="shared" si="62"/>
        <v>0</v>
      </c>
      <c r="IW16" s="2"/>
      <c r="IX16" s="2"/>
      <c r="IY16" s="24">
        <f t="shared" si="63"/>
        <v>0</v>
      </c>
      <c r="IZ16" s="23"/>
      <c r="JA16" s="2"/>
      <c r="JB16" s="2"/>
      <c r="JC16" s="24">
        <f t="shared" si="64"/>
        <v>0</v>
      </c>
      <c r="JD16" s="23"/>
      <c r="JE16" s="2"/>
      <c r="JF16" s="2"/>
      <c r="JG16" s="24">
        <f t="shared" si="65"/>
        <v>0</v>
      </c>
      <c r="JH16" s="23"/>
      <c r="JI16" s="2"/>
      <c r="JJ16" s="2"/>
      <c r="JK16" s="24">
        <f t="shared" si="66"/>
        <v>0</v>
      </c>
      <c r="JL16" s="23"/>
      <c r="JM16" s="2"/>
      <c r="JN16" s="2"/>
      <c r="JO16" s="24">
        <f t="shared" si="67"/>
        <v>0</v>
      </c>
      <c r="JP16" s="23"/>
      <c r="JQ16" s="2"/>
      <c r="JR16" s="2"/>
      <c r="JS16" s="24">
        <f t="shared" si="68"/>
        <v>0</v>
      </c>
      <c r="JT16" s="23"/>
      <c r="JU16" s="8">
        <f t="shared" si="69"/>
        <v>0</v>
      </c>
      <c r="JV16" s="2"/>
      <c r="JW16" s="2"/>
      <c r="JX16" s="24">
        <f t="shared" si="70"/>
        <v>0</v>
      </c>
      <c r="JY16" s="23"/>
      <c r="JZ16" s="2"/>
      <c r="KA16" s="2"/>
      <c r="KB16" s="24">
        <f t="shared" si="71"/>
        <v>0</v>
      </c>
      <c r="KC16" s="23"/>
      <c r="KD16" s="2"/>
      <c r="KE16" s="2"/>
      <c r="KF16" s="24">
        <f t="shared" si="72"/>
        <v>0</v>
      </c>
      <c r="KG16" s="23"/>
      <c r="KH16" s="2"/>
      <c r="KI16" s="2"/>
      <c r="KJ16" s="24">
        <f t="shared" si="73"/>
        <v>0</v>
      </c>
      <c r="KK16" s="23"/>
      <c r="KL16" s="2"/>
      <c r="KM16" s="2"/>
      <c r="KN16" s="24">
        <f t="shared" si="74"/>
        <v>0</v>
      </c>
      <c r="KO16" s="23"/>
      <c r="KP16" s="2"/>
      <c r="KQ16" s="2"/>
      <c r="KR16" s="24">
        <f t="shared" si="75"/>
        <v>0</v>
      </c>
      <c r="KS16" s="23"/>
      <c r="KT16" s="8">
        <f t="shared" si="76"/>
        <v>0</v>
      </c>
      <c r="KU16" s="2"/>
      <c r="KV16" s="2"/>
      <c r="KW16" s="24">
        <f t="shared" si="77"/>
        <v>0</v>
      </c>
      <c r="KX16" s="23"/>
      <c r="KY16" s="8">
        <f t="shared" si="78"/>
        <v>0</v>
      </c>
      <c r="KZ16" s="2"/>
      <c r="LA16" s="2"/>
      <c r="LB16" s="24">
        <f t="shared" si="79"/>
        <v>0</v>
      </c>
      <c r="LC16" s="23"/>
      <c r="LD16" s="2"/>
      <c r="LE16" s="2"/>
      <c r="LF16" s="24">
        <f t="shared" si="80"/>
        <v>0</v>
      </c>
      <c r="LG16" s="23"/>
      <c r="LH16" s="2"/>
      <c r="LI16" s="2"/>
      <c r="LJ16" s="24">
        <f t="shared" si="81"/>
        <v>0</v>
      </c>
      <c r="LK16" s="23"/>
      <c r="LL16" s="8">
        <f t="shared" si="82"/>
        <v>0</v>
      </c>
      <c r="LM16" s="2"/>
      <c r="LN16" s="2"/>
      <c r="LO16" s="24">
        <f t="shared" si="83"/>
        <v>0</v>
      </c>
      <c r="LP16" s="23"/>
      <c r="LQ16" s="2"/>
      <c r="LR16" s="2"/>
      <c r="LS16" s="24">
        <f t="shared" si="84"/>
        <v>0</v>
      </c>
      <c r="LT16" s="23"/>
      <c r="LU16" s="2"/>
      <c r="LV16" s="2"/>
      <c r="LW16" s="24">
        <f t="shared" si="85"/>
        <v>0</v>
      </c>
      <c r="LX16" s="23"/>
      <c r="LY16" s="8">
        <f t="shared" si="86"/>
        <v>0</v>
      </c>
      <c r="LZ16" s="2"/>
      <c r="MA16" s="2"/>
      <c r="MB16" s="24">
        <f t="shared" si="87"/>
        <v>0</v>
      </c>
      <c r="MC16" s="23"/>
      <c r="MD16" s="2"/>
      <c r="ME16" s="2"/>
      <c r="MF16" s="24">
        <f t="shared" si="88"/>
        <v>0</v>
      </c>
      <c r="MG16" s="23"/>
      <c r="MH16" s="2"/>
      <c r="MI16" s="2"/>
      <c r="MJ16" s="24">
        <f t="shared" si="89"/>
        <v>0</v>
      </c>
      <c r="MK16" s="23"/>
      <c r="ML16" s="8">
        <f t="shared" si="90"/>
        <v>0</v>
      </c>
      <c r="MM16" s="2"/>
      <c r="MN16" s="2"/>
      <c r="MO16" s="24">
        <f t="shared" si="91"/>
        <v>0</v>
      </c>
      <c r="MP16" s="23"/>
      <c r="MQ16" s="2"/>
      <c r="MR16" s="2"/>
      <c r="MS16" s="24">
        <f t="shared" si="92"/>
        <v>0</v>
      </c>
      <c r="MT16" s="23"/>
      <c r="MU16" s="2"/>
      <c r="MV16" s="2"/>
      <c r="MW16" s="24">
        <f t="shared" si="93"/>
        <v>0</v>
      </c>
      <c r="MX16" s="23"/>
      <c r="MY16" s="8">
        <f t="shared" si="94"/>
        <v>0</v>
      </c>
      <c r="MZ16" s="2"/>
      <c r="NA16" s="2"/>
      <c r="NB16" s="24">
        <f t="shared" si="95"/>
        <v>0</v>
      </c>
      <c r="NC16" s="23"/>
      <c r="ND16" s="2"/>
      <c r="NE16" s="2"/>
      <c r="NF16" s="24">
        <f t="shared" si="96"/>
        <v>0</v>
      </c>
      <c r="NG16" s="23"/>
      <c r="NH16" s="2"/>
      <c r="NI16" s="2"/>
      <c r="NJ16" s="24">
        <f t="shared" si="97"/>
        <v>0</v>
      </c>
      <c r="NK16" s="23"/>
      <c r="NL16" s="8">
        <f t="shared" si="98"/>
        <v>0</v>
      </c>
      <c r="NM16" s="2"/>
      <c r="NN16" s="2"/>
      <c r="NO16" s="24">
        <f t="shared" si="99"/>
        <v>0</v>
      </c>
      <c r="NP16" s="23"/>
      <c r="NQ16" s="2"/>
      <c r="NR16" s="2"/>
      <c r="NS16" s="24">
        <f t="shared" si="100"/>
        <v>0</v>
      </c>
      <c r="NT16" s="23"/>
      <c r="NU16" s="8">
        <f t="shared" si="101"/>
        <v>0</v>
      </c>
      <c r="NV16" s="2"/>
      <c r="NW16" s="2"/>
      <c r="NX16" s="24">
        <f t="shared" si="102"/>
        <v>0</v>
      </c>
      <c r="NY16" s="23"/>
      <c r="NZ16" s="2"/>
      <c r="OA16" s="2"/>
      <c r="OB16" s="24">
        <f t="shared" si="103"/>
        <v>0</v>
      </c>
      <c r="OC16" s="23"/>
      <c r="OD16" s="8">
        <f t="shared" si="104"/>
        <v>0</v>
      </c>
      <c r="OE16" s="2"/>
      <c r="OF16" s="2"/>
      <c r="OG16" s="24">
        <f t="shared" si="105"/>
        <v>0</v>
      </c>
      <c r="OH16" s="23"/>
      <c r="OI16" s="2"/>
      <c r="OJ16" s="2"/>
      <c r="OK16" s="24">
        <f t="shared" si="106"/>
        <v>0</v>
      </c>
      <c r="OL16" s="23"/>
      <c r="OM16" s="8">
        <f t="shared" si="107"/>
        <v>0</v>
      </c>
      <c r="ON16" s="2"/>
      <c r="OO16" s="2"/>
      <c r="OP16" s="24">
        <f t="shared" si="108"/>
        <v>0</v>
      </c>
      <c r="OQ16" s="23"/>
      <c r="OR16" s="2"/>
      <c r="OS16" s="2"/>
      <c r="OT16" s="24">
        <f t="shared" si="109"/>
        <v>0</v>
      </c>
      <c r="OU16" s="23"/>
      <c r="OV16" s="8">
        <f t="shared" si="110"/>
        <v>0</v>
      </c>
      <c r="OW16" s="2"/>
      <c r="OX16" s="2"/>
      <c r="OY16" s="24">
        <f t="shared" si="111"/>
        <v>0</v>
      </c>
      <c r="OZ16" s="23"/>
      <c r="PA16" s="8">
        <f t="shared" si="112"/>
        <v>0</v>
      </c>
      <c r="PB16" s="2"/>
      <c r="PC16" s="2"/>
      <c r="PD16" s="24">
        <f t="shared" si="113"/>
        <v>0</v>
      </c>
      <c r="PE16" s="23"/>
      <c r="PF16" s="8">
        <f t="shared" si="114"/>
        <v>0</v>
      </c>
      <c r="PG16" s="2"/>
      <c r="PH16" s="2"/>
      <c r="PI16" s="24">
        <f t="shared" si="115"/>
        <v>0</v>
      </c>
      <c r="PJ16" s="23"/>
      <c r="PK16" s="2"/>
      <c r="PL16" s="2"/>
      <c r="PM16" s="24">
        <f t="shared" si="116"/>
        <v>0</v>
      </c>
      <c r="PN16" s="23"/>
      <c r="PO16" s="8">
        <f t="shared" si="117"/>
        <v>0</v>
      </c>
      <c r="PP16" s="2"/>
      <c r="PQ16" s="2"/>
      <c r="PR16" s="24">
        <f t="shared" si="118"/>
        <v>0</v>
      </c>
      <c r="PS16" s="23"/>
      <c r="PT16" s="8">
        <f t="shared" si="119"/>
        <v>0</v>
      </c>
      <c r="PU16" s="2"/>
      <c r="PV16" s="2"/>
      <c r="PW16" s="24">
        <f t="shared" si="120"/>
        <v>0</v>
      </c>
      <c r="PX16" s="23"/>
      <c r="PY16" s="8">
        <f t="shared" si="121"/>
        <v>0</v>
      </c>
      <c r="PZ16" s="2"/>
      <c r="QA16" s="2"/>
      <c r="QB16" s="24">
        <f t="shared" si="122"/>
        <v>0</v>
      </c>
      <c r="QC16" s="23"/>
      <c r="QD16" s="8">
        <f t="shared" si="123"/>
        <v>0</v>
      </c>
      <c r="QE16" s="2"/>
      <c r="QF16" s="2"/>
      <c r="QG16" s="24">
        <f t="shared" si="124"/>
        <v>0</v>
      </c>
      <c r="QH16" s="23"/>
      <c r="QI16" s="8">
        <f t="shared" si="125"/>
        <v>0</v>
      </c>
    </row>
    <row r="17" spans="1:451" ht="14.25" customHeight="1" x14ac:dyDescent="0.3">
      <c r="A17" s="5" t="s">
        <v>16</v>
      </c>
      <c r="B17" s="2">
        <v>3</v>
      </c>
      <c r="C17" s="2">
        <v>0</v>
      </c>
      <c r="D17" s="24">
        <f t="shared" si="0"/>
        <v>4</v>
      </c>
      <c r="E17" s="23"/>
      <c r="F17" s="2">
        <v>2</v>
      </c>
      <c r="G17" s="2">
        <v>1</v>
      </c>
      <c r="H17" s="24">
        <f t="shared" si="1"/>
        <v>5</v>
      </c>
      <c r="I17" s="23"/>
      <c r="J17" s="8">
        <f t="shared" si="2"/>
        <v>9</v>
      </c>
      <c r="K17" s="2">
        <v>0</v>
      </c>
      <c r="L17" s="2">
        <v>2</v>
      </c>
      <c r="M17" s="24">
        <f t="shared" si="3"/>
        <v>0</v>
      </c>
      <c r="N17" s="23"/>
      <c r="O17" s="2">
        <v>1</v>
      </c>
      <c r="P17" s="2">
        <v>3</v>
      </c>
      <c r="Q17" s="24">
        <f t="shared" si="4"/>
        <v>0</v>
      </c>
      <c r="R17" s="23"/>
      <c r="S17" s="8">
        <f t="shared" si="5"/>
        <v>0</v>
      </c>
      <c r="T17" s="2">
        <v>0</v>
      </c>
      <c r="U17" s="2">
        <v>4</v>
      </c>
      <c r="V17" s="24">
        <f t="shared" si="6"/>
        <v>0</v>
      </c>
      <c r="W17" s="23"/>
      <c r="X17" s="2">
        <v>0</v>
      </c>
      <c r="Y17" s="2">
        <v>1</v>
      </c>
      <c r="Z17" s="24">
        <f t="shared" si="7"/>
        <v>1</v>
      </c>
      <c r="AA17" s="23"/>
      <c r="AB17" s="2">
        <v>0</v>
      </c>
      <c r="AC17" s="2">
        <v>3</v>
      </c>
      <c r="AD17" s="24">
        <f t="shared" si="8"/>
        <v>4</v>
      </c>
      <c r="AE17" s="23"/>
      <c r="AF17" s="2">
        <v>1</v>
      </c>
      <c r="AG17" s="2">
        <v>3</v>
      </c>
      <c r="AH17" s="24">
        <f t="shared" si="9"/>
        <v>0</v>
      </c>
      <c r="AI17" s="23"/>
      <c r="AJ17" s="8">
        <f t="shared" si="10"/>
        <v>5</v>
      </c>
      <c r="AK17" s="2">
        <v>5</v>
      </c>
      <c r="AL17" s="2">
        <v>0</v>
      </c>
      <c r="AM17" s="24">
        <f t="shared" si="11"/>
        <v>3</v>
      </c>
      <c r="AN17" s="23"/>
      <c r="AO17" s="2">
        <v>2</v>
      </c>
      <c r="AP17" s="2">
        <v>1</v>
      </c>
      <c r="AQ17" s="24">
        <f t="shared" si="12"/>
        <v>1</v>
      </c>
      <c r="AR17" s="23"/>
      <c r="AS17" s="2">
        <v>3</v>
      </c>
      <c r="AT17" s="2">
        <v>2</v>
      </c>
      <c r="AU17" s="24">
        <f t="shared" si="13"/>
        <v>3</v>
      </c>
      <c r="AV17" s="23"/>
      <c r="AW17" s="2">
        <v>4</v>
      </c>
      <c r="AX17" s="2">
        <v>0</v>
      </c>
      <c r="AY17" s="24">
        <f t="shared" si="14"/>
        <v>3</v>
      </c>
      <c r="AZ17" s="23"/>
      <c r="BA17" s="8">
        <f t="shared" si="15"/>
        <v>10</v>
      </c>
      <c r="BB17" s="2">
        <v>7</v>
      </c>
      <c r="BC17" s="2">
        <v>0</v>
      </c>
      <c r="BD17" s="24">
        <f t="shared" si="16"/>
        <v>1</v>
      </c>
      <c r="BE17" s="23"/>
      <c r="BF17" s="2">
        <v>3</v>
      </c>
      <c r="BG17" s="2">
        <v>0</v>
      </c>
      <c r="BH17" s="24">
        <f t="shared" si="17"/>
        <v>0</v>
      </c>
      <c r="BI17" s="23"/>
      <c r="BJ17" s="2">
        <v>1</v>
      </c>
      <c r="BK17" s="2">
        <v>2</v>
      </c>
      <c r="BL17" s="24">
        <f t="shared" si="18"/>
        <v>1</v>
      </c>
      <c r="BM17" s="23"/>
      <c r="BN17" s="2">
        <v>1</v>
      </c>
      <c r="BO17" s="2">
        <v>1</v>
      </c>
      <c r="BP17" s="24">
        <f t="shared" si="19"/>
        <v>3</v>
      </c>
      <c r="BQ17" s="23"/>
      <c r="BR17" s="8">
        <f t="shared" si="20"/>
        <v>5</v>
      </c>
      <c r="BS17" s="2">
        <v>3</v>
      </c>
      <c r="BT17" s="2">
        <v>1</v>
      </c>
      <c r="BU17" s="24">
        <f t="shared" si="21"/>
        <v>5</v>
      </c>
      <c r="BV17" s="23"/>
      <c r="BW17" s="2">
        <v>0</v>
      </c>
      <c r="BX17" s="2">
        <v>5</v>
      </c>
      <c r="BY17" s="24">
        <f t="shared" si="22"/>
        <v>3</v>
      </c>
      <c r="BZ17" s="23"/>
      <c r="CA17" s="2">
        <v>2</v>
      </c>
      <c r="CB17" s="2">
        <v>2</v>
      </c>
      <c r="CC17" s="24">
        <f t="shared" si="23"/>
        <v>0</v>
      </c>
      <c r="CD17" s="23"/>
      <c r="CE17" s="2">
        <v>0</v>
      </c>
      <c r="CF17" s="2">
        <v>0</v>
      </c>
      <c r="CG17" s="24">
        <f t="shared" si="24"/>
        <v>0</v>
      </c>
      <c r="CH17" s="23"/>
      <c r="CI17" s="8">
        <f t="shared" si="25"/>
        <v>8</v>
      </c>
      <c r="CJ17" s="2">
        <v>6</v>
      </c>
      <c r="CK17" s="2">
        <v>0</v>
      </c>
      <c r="CL17" s="24">
        <f t="shared" si="26"/>
        <v>0</v>
      </c>
      <c r="CM17" s="23"/>
      <c r="CN17" s="2">
        <v>3</v>
      </c>
      <c r="CO17" s="2">
        <v>1</v>
      </c>
      <c r="CP17" s="24">
        <f t="shared" si="27"/>
        <v>3</v>
      </c>
      <c r="CQ17" s="23"/>
      <c r="CR17" s="2">
        <v>3</v>
      </c>
      <c r="CS17" s="2">
        <v>0</v>
      </c>
      <c r="CT17" s="24">
        <f t="shared" si="28"/>
        <v>4</v>
      </c>
      <c r="CU17" s="23"/>
      <c r="CV17" s="2">
        <v>0</v>
      </c>
      <c r="CW17" s="2">
        <v>4</v>
      </c>
      <c r="CX17" s="24">
        <f t="shared" si="29"/>
        <v>3</v>
      </c>
      <c r="CY17" s="23"/>
      <c r="CZ17" s="8">
        <f t="shared" si="30"/>
        <v>10</v>
      </c>
      <c r="DA17" s="2">
        <v>3</v>
      </c>
      <c r="DB17" s="2">
        <v>0</v>
      </c>
      <c r="DC17" s="24">
        <f t="shared" si="126"/>
        <v>0</v>
      </c>
      <c r="DD17" s="23"/>
      <c r="DE17" s="2">
        <v>3</v>
      </c>
      <c r="DF17" s="2">
        <v>1</v>
      </c>
      <c r="DG17" s="24">
        <f t="shared" si="127"/>
        <v>4</v>
      </c>
      <c r="DH17" s="23"/>
      <c r="DI17" s="2">
        <v>2</v>
      </c>
      <c r="DJ17" s="2">
        <v>0</v>
      </c>
      <c r="DK17" s="24">
        <f t="shared" si="128"/>
        <v>4</v>
      </c>
      <c r="DL17" s="23"/>
      <c r="DM17" s="2">
        <v>0</v>
      </c>
      <c r="DN17" s="2">
        <v>2</v>
      </c>
      <c r="DO17" s="24">
        <f t="shared" si="129"/>
        <v>0</v>
      </c>
      <c r="DP17" s="23"/>
      <c r="DQ17" s="8">
        <f t="shared" si="31"/>
        <v>8</v>
      </c>
      <c r="DR17" s="2">
        <v>3</v>
      </c>
      <c r="DS17" s="2">
        <v>0</v>
      </c>
      <c r="DT17" s="24">
        <f t="shared" si="130"/>
        <v>4</v>
      </c>
      <c r="DU17" s="23"/>
      <c r="DV17" s="2">
        <v>0</v>
      </c>
      <c r="DW17" s="2">
        <v>3</v>
      </c>
      <c r="DX17" s="24">
        <f t="shared" si="131"/>
        <v>4</v>
      </c>
      <c r="DY17" s="23"/>
      <c r="DZ17" s="2">
        <v>5</v>
      </c>
      <c r="EA17" s="2">
        <v>0</v>
      </c>
      <c r="EB17" s="24">
        <f t="shared" si="132"/>
        <v>4</v>
      </c>
      <c r="EC17" s="23"/>
      <c r="ED17" s="2">
        <v>2</v>
      </c>
      <c r="EE17" s="2">
        <v>1</v>
      </c>
      <c r="EF17" s="24">
        <f t="shared" si="133"/>
        <v>1</v>
      </c>
      <c r="EG17" s="23"/>
      <c r="EH17" s="8">
        <f t="shared" si="32"/>
        <v>13</v>
      </c>
      <c r="EI17" s="2">
        <v>3</v>
      </c>
      <c r="EJ17" s="2">
        <v>1</v>
      </c>
      <c r="EK17" s="24">
        <f t="shared" si="33"/>
        <v>4</v>
      </c>
      <c r="EL17" s="23"/>
      <c r="EM17" s="2">
        <v>1</v>
      </c>
      <c r="EN17" s="2">
        <v>1</v>
      </c>
      <c r="EO17" s="24">
        <f t="shared" si="34"/>
        <v>1</v>
      </c>
      <c r="EP17" s="23"/>
      <c r="EQ17" s="2">
        <v>4</v>
      </c>
      <c r="ER17" s="2">
        <v>0</v>
      </c>
      <c r="ES17" s="24">
        <f t="shared" si="35"/>
        <v>1</v>
      </c>
      <c r="ET17" s="23"/>
      <c r="EU17" s="2">
        <v>0</v>
      </c>
      <c r="EV17" s="2">
        <v>5</v>
      </c>
      <c r="EW17" s="24">
        <f t="shared" si="36"/>
        <v>4</v>
      </c>
      <c r="EX17" s="23"/>
      <c r="EY17" s="8">
        <f t="shared" si="37"/>
        <v>10</v>
      </c>
      <c r="EZ17" s="2">
        <v>2</v>
      </c>
      <c r="FA17" s="2">
        <v>1</v>
      </c>
      <c r="FB17" s="24"/>
      <c r="FC17" s="23"/>
      <c r="FD17" s="2">
        <v>3</v>
      </c>
      <c r="FE17" s="2">
        <v>0</v>
      </c>
      <c r="FF17" s="24"/>
      <c r="FG17" s="23"/>
      <c r="FH17" s="2">
        <v>4</v>
      </c>
      <c r="FI17" s="2">
        <v>0</v>
      </c>
      <c r="FJ17" s="24"/>
      <c r="FK17" s="23"/>
      <c r="FL17" s="2">
        <v>0</v>
      </c>
      <c r="FM17" s="2">
        <v>1</v>
      </c>
      <c r="FN17" s="24"/>
      <c r="FO17" s="23"/>
      <c r="FP17" s="8">
        <f t="shared" si="38"/>
        <v>0</v>
      </c>
      <c r="FQ17" s="2"/>
      <c r="FR17" s="2"/>
      <c r="FS17" s="24">
        <f t="shared" si="39"/>
        <v>0</v>
      </c>
      <c r="FT17" s="23"/>
      <c r="FU17" s="2"/>
      <c r="FV17" s="2"/>
      <c r="FW17" s="24">
        <f t="shared" si="40"/>
        <v>0</v>
      </c>
      <c r="FX17" s="23"/>
      <c r="FY17" s="2"/>
      <c r="FZ17" s="2"/>
      <c r="GA17" s="24">
        <f t="shared" si="41"/>
        <v>0</v>
      </c>
      <c r="GB17" s="23"/>
      <c r="GC17" s="2"/>
      <c r="GD17" s="2"/>
      <c r="GE17" s="24">
        <f t="shared" si="42"/>
        <v>0</v>
      </c>
      <c r="GF17" s="23"/>
      <c r="GG17" s="8">
        <f t="shared" si="43"/>
        <v>0</v>
      </c>
      <c r="GH17" s="2"/>
      <c r="GI17" s="2"/>
      <c r="GJ17" s="24">
        <f t="shared" si="44"/>
        <v>0</v>
      </c>
      <c r="GK17" s="23"/>
      <c r="GL17" s="2"/>
      <c r="GM17" s="2"/>
      <c r="GN17" s="24">
        <f t="shared" si="45"/>
        <v>0</v>
      </c>
      <c r="GO17" s="23"/>
      <c r="GP17" s="2"/>
      <c r="GQ17" s="2"/>
      <c r="GR17" s="24">
        <f t="shared" si="46"/>
        <v>0</v>
      </c>
      <c r="GS17" s="23"/>
      <c r="GT17" s="2"/>
      <c r="GU17" s="2"/>
      <c r="GV17" s="24">
        <f t="shared" si="47"/>
        <v>0</v>
      </c>
      <c r="GW17" s="23"/>
      <c r="GX17" s="8">
        <f t="shared" si="48"/>
        <v>0</v>
      </c>
      <c r="GY17" s="2"/>
      <c r="GZ17" s="2"/>
      <c r="HA17" s="24">
        <f t="shared" si="49"/>
        <v>0</v>
      </c>
      <c r="HB17" s="23"/>
      <c r="HC17" s="2"/>
      <c r="HD17" s="2"/>
      <c r="HE17" s="24">
        <f t="shared" si="50"/>
        <v>0</v>
      </c>
      <c r="HF17" s="23"/>
      <c r="HG17" s="2"/>
      <c r="HH17" s="2"/>
      <c r="HI17" s="24">
        <f t="shared" si="51"/>
        <v>0</v>
      </c>
      <c r="HJ17" s="23"/>
      <c r="HK17" s="2"/>
      <c r="HL17" s="2"/>
      <c r="HM17" s="24">
        <f t="shared" si="52"/>
        <v>0</v>
      </c>
      <c r="HN17" s="23"/>
      <c r="HO17" s="2"/>
      <c r="HP17" s="2"/>
      <c r="HQ17" s="24">
        <f t="shared" si="53"/>
        <v>0</v>
      </c>
      <c r="HR17" s="23"/>
      <c r="HS17" s="2"/>
      <c r="HT17" s="2"/>
      <c r="HU17" s="24">
        <f t="shared" si="54"/>
        <v>0</v>
      </c>
      <c r="HV17" s="23"/>
      <c r="HW17" s="8">
        <f t="shared" si="55"/>
        <v>0</v>
      </c>
      <c r="HX17" s="2"/>
      <c r="HY17" s="2"/>
      <c r="HZ17" s="24">
        <f t="shared" si="56"/>
        <v>0</v>
      </c>
      <c r="IA17" s="23"/>
      <c r="IB17" s="2"/>
      <c r="IC17" s="2"/>
      <c r="ID17" s="24">
        <f t="shared" si="57"/>
        <v>0</v>
      </c>
      <c r="IE17" s="23"/>
      <c r="IF17" s="2"/>
      <c r="IG17" s="2"/>
      <c r="IH17" s="24">
        <f t="shared" si="58"/>
        <v>0</v>
      </c>
      <c r="II17" s="23"/>
      <c r="IJ17" s="2"/>
      <c r="IK17" s="2"/>
      <c r="IL17" s="24">
        <f t="shared" si="59"/>
        <v>0</v>
      </c>
      <c r="IM17" s="23"/>
      <c r="IN17" s="2"/>
      <c r="IO17" s="2"/>
      <c r="IP17" s="24">
        <f t="shared" si="60"/>
        <v>0</v>
      </c>
      <c r="IQ17" s="23"/>
      <c r="IR17" s="2"/>
      <c r="IS17" s="2"/>
      <c r="IT17" s="24">
        <f t="shared" si="61"/>
        <v>0</v>
      </c>
      <c r="IU17" s="23"/>
      <c r="IV17" s="8">
        <f t="shared" si="62"/>
        <v>0</v>
      </c>
      <c r="IW17" s="2"/>
      <c r="IX17" s="2"/>
      <c r="IY17" s="24">
        <f t="shared" si="63"/>
        <v>0</v>
      </c>
      <c r="IZ17" s="23"/>
      <c r="JA17" s="2"/>
      <c r="JB17" s="2"/>
      <c r="JC17" s="24">
        <f t="shared" si="64"/>
        <v>0</v>
      </c>
      <c r="JD17" s="23"/>
      <c r="JE17" s="2"/>
      <c r="JF17" s="2"/>
      <c r="JG17" s="24">
        <f t="shared" si="65"/>
        <v>0</v>
      </c>
      <c r="JH17" s="23"/>
      <c r="JI17" s="2"/>
      <c r="JJ17" s="2"/>
      <c r="JK17" s="24">
        <f t="shared" si="66"/>
        <v>0</v>
      </c>
      <c r="JL17" s="23"/>
      <c r="JM17" s="2"/>
      <c r="JN17" s="2"/>
      <c r="JO17" s="24">
        <f t="shared" si="67"/>
        <v>0</v>
      </c>
      <c r="JP17" s="23"/>
      <c r="JQ17" s="2"/>
      <c r="JR17" s="2"/>
      <c r="JS17" s="24">
        <f t="shared" si="68"/>
        <v>0</v>
      </c>
      <c r="JT17" s="23"/>
      <c r="JU17" s="8">
        <f t="shared" si="69"/>
        <v>0</v>
      </c>
      <c r="JV17" s="2"/>
      <c r="JW17" s="2"/>
      <c r="JX17" s="24">
        <f t="shared" si="70"/>
        <v>0</v>
      </c>
      <c r="JY17" s="23"/>
      <c r="JZ17" s="2"/>
      <c r="KA17" s="2"/>
      <c r="KB17" s="24">
        <f t="shared" si="71"/>
        <v>0</v>
      </c>
      <c r="KC17" s="23"/>
      <c r="KD17" s="2"/>
      <c r="KE17" s="2"/>
      <c r="KF17" s="24">
        <f t="shared" si="72"/>
        <v>0</v>
      </c>
      <c r="KG17" s="23"/>
      <c r="KH17" s="2"/>
      <c r="KI17" s="2"/>
      <c r="KJ17" s="24">
        <f t="shared" si="73"/>
        <v>0</v>
      </c>
      <c r="KK17" s="23"/>
      <c r="KL17" s="2"/>
      <c r="KM17" s="2"/>
      <c r="KN17" s="24">
        <f t="shared" si="74"/>
        <v>0</v>
      </c>
      <c r="KO17" s="23"/>
      <c r="KP17" s="2"/>
      <c r="KQ17" s="2"/>
      <c r="KR17" s="24">
        <f t="shared" si="75"/>
        <v>0</v>
      </c>
      <c r="KS17" s="23"/>
      <c r="KT17" s="8">
        <f t="shared" si="76"/>
        <v>0</v>
      </c>
      <c r="KU17" s="2"/>
      <c r="KV17" s="2"/>
      <c r="KW17" s="24">
        <f t="shared" si="77"/>
        <v>0</v>
      </c>
      <c r="KX17" s="23"/>
      <c r="KY17" s="8">
        <f t="shared" si="78"/>
        <v>0</v>
      </c>
      <c r="KZ17" s="2"/>
      <c r="LA17" s="2"/>
      <c r="LB17" s="24">
        <f t="shared" si="79"/>
        <v>0</v>
      </c>
      <c r="LC17" s="23"/>
      <c r="LD17" s="2"/>
      <c r="LE17" s="2"/>
      <c r="LF17" s="24">
        <f t="shared" si="80"/>
        <v>0</v>
      </c>
      <c r="LG17" s="23"/>
      <c r="LH17" s="2"/>
      <c r="LI17" s="2"/>
      <c r="LJ17" s="24">
        <f t="shared" si="81"/>
        <v>0</v>
      </c>
      <c r="LK17" s="23"/>
      <c r="LL17" s="8">
        <f t="shared" si="82"/>
        <v>0</v>
      </c>
      <c r="LM17" s="2"/>
      <c r="LN17" s="2"/>
      <c r="LO17" s="24">
        <f t="shared" si="83"/>
        <v>0</v>
      </c>
      <c r="LP17" s="23"/>
      <c r="LQ17" s="2"/>
      <c r="LR17" s="2"/>
      <c r="LS17" s="24">
        <f t="shared" si="84"/>
        <v>0</v>
      </c>
      <c r="LT17" s="23"/>
      <c r="LU17" s="2"/>
      <c r="LV17" s="2"/>
      <c r="LW17" s="24">
        <f t="shared" si="85"/>
        <v>0</v>
      </c>
      <c r="LX17" s="23"/>
      <c r="LY17" s="8">
        <f t="shared" si="86"/>
        <v>0</v>
      </c>
      <c r="LZ17" s="2"/>
      <c r="MA17" s="2"/>
      <c r="MB17" s="24">
        <f t="shared" si="87"/>
        <v>0</v>
      </c>
      <c r="MC17" s="23"/>
      <c r="MD17" s="2"/>
      <c r="ME17" s="2"/>
      <c r="MF17" s="24">
        <f t="shared" si="88"/>
        <v>0</v>
      </c>
      <c r="MG17" s="23"/>
      <c r="MH17" s="2"/>
      <c r="MI17" s="2"/>
      <c r="MJ17" s="24">
        <f t="shared" si="89"/>
        <v>0</v>
      </c>
      <c r="MK17" s="23"/>
      <c r="ML17" s="8">
        <f t="shared" si="90"/>
        <v>0</v>
      </c>
      <c r="MM17" s="2"/>
      <c r="MN17" s="2"/>
      <c r="MO17" s="24">
        <f t="shared" si="91"/>
        <v>0</v>
      </c>
      <c r="MP17" s="23"/>
      <c r="MQ17" s="2"/>
      <c r="MR17" s="2"/>
      <c r="MS17" s="24">
        <f t="shared" si="92"/>
        <v>0</v>
      </c>
      <c r="MT17" s="23"/>
      <c r="MU17" s="2"/>
      <c r="MV17" s="2"/>
      <c r="MW17" s="24">
        <f t="shared" si="93"/>
        <v>0</v>
      </c>
      <c r="MX17" s="23"/>
      <c r="MY17" s="8">
        <f t="shared" si="94"/>
        <v>0</v>
      </c>
      <c r="MZ17" s="2"/>
      <c r="NA17" s="2"/>
      <c r="NB17" s="24">
        <f t="shared" si="95"/>
        <v>0</v>
      </c>
      <c r="NC17" s="23"/>
      <c r="ND17" s="2"/>
      <c r="NE17" s="2"/>
      <c r="NF17" s="24">
        <f t="shared" si="96"/>
        <v>0</v>
      </c>
      <c r="NG17" s="23"/>
      <c r="NH17" s="2"/>
      <c r="NI17" s="2"/>
      <c r="NJ17" s="24">
        <f t="shared" si="97"/>
        <v>0</v>
      </c>
      <c r="NK17" s="23"/>
      <c r="NL17" s="8">
        <f t="shared" si="98"/>
        <v>0</v>
      </c>
      <c r="NM17" s="2"/>
      <c r="NN17" s="2"/>
      <c r="NO17" s="24">
        <f t="shared" si="99"/>
        <v>0</v>
      </c>
      <c r="NP17" s="23"/>
      <c r="NQ17" s="2"/>
      <c r="NR17" s="2"/>
      <c r="NS17" s="24">
        <f t="shared" si="100"/>
        <v>0</v>
      </c>
      <c r="NT17" s="23"/>
      <c r="NU17" s="8">
        <f t="shared" si="101"/>
        <v>0</v>
      </c>
      <c r="NV17" s="2"/>
      <c r="NW17" s="2"/>
      <c r="NX17" s="24">
        <f t="shared" si="102"/>
        <v>0</v>
      </c>
      <c r="NY17" s="23"/>
      <c r="NZ17" s="2"/>
      <c r="OA17" s="2"/>
      <c r="OB17" s="24">
        <f t="shared" si="103"/>
        <v>0</v>
      </c>
      <c r="OC17" s="23"/>
      <c r="OD17" s="8">
        <f t="shared" si="104"/>
        <v>0</v>
      </c>
      <c r="OE17" s="2"/>
      <c r="OF17" s="2"/>
      <c r="OG17" s="24">
        <f t="shared" si="105"/>
        <v>0</v>
      </c>
      <c r="OH17" s="23"/>
      <c r="OI17" s="2"/>
      <c r="OJ17" s="2"/>
      <c r="OK17" s="24">
        <f t="shared" si="106"/>
        <v>0</v>
      </c>
      <c r="OL17" s="23"/>
      <c r="OM17" s="8">
        <f t="shared" si="107"/>
        <v>0</v>
      </c>
      <c r="ON17" s="2"/>
      <c r="OO17" s="2"/>
      <c r="OP17" s="24">
        <f t="shared" si="108"/>
        <v>0</v>
      </c>
      <c r="OQ17" s="23"/>
      <c r="OR17" s="2"/>
      <c r="OS17" s="2"/>
      <c r="OT17" s="24">
        <f t="shared" si="109"/>
        <v>0</v>
      </c>
      <c r="OU17" s="23"/>
      <c r="OV17" s="8">
        <f t="shared" si="110"/>
        <v>0</v>
      </c>
      <c r="OW17" s="2"/>
      <c r="OX17" s="2"/>
      <c r="OY17" s="24">
        <f t="shared" si="111"/>
        <v>0</v>
      </c>
      <c r="OZ17" s="23"/>
      <c r="PA17" s="8">
        <f t="shared" si="112"/>
        <v>0</v>
      </c>
      <c r="PB17" s="2"/>
      <c r="PC17" s="2"/>
      <c r="PD17" s="24">
        <f t="shared" si="113"/>
        <v>0</v>
      </c>
      <c r="PE17" s="23"/>
      <c r="PF17" s="8">
        <f t="shared" si="114"/>
        <v>0</v>
      </c>
      <c r="PG17" s="2"/>
      <c r="PH17" s="2"/>
      <c r="PI17" s="24">
        <f t="shared" si="115"/>
        <v>0</v>
      </c>
      <c r="PJ17" s="23"/>
      <c r="PK17" s="2"/>
      <c r="PL17" s="2"/>
      <c r="PM17" s="24">
        <f t="shared" si="116"/>
        <v>0</v>
      </c>
      <c r="PN17" s="23"/>
      <c r="PO17" s="8">
        <f t="shared" si="117"/>
        <v>0</v>
      </c>
      <c r="PP17" s="2"/>
      <c r="PQ17" s="2"/>
      <c r="PR17" s="24">
        <f t="shared" si="118"/>
        <v>0</v>
      </c>
      <c r="PS17" s="23"/>
      <c r="PT17" s="8">
        <f t="shared" si="119"/>
        <v>0</v>
      </c>
      <c r="PU17" s="2"/>
      <c r="PV17" s="2"/>
      <c r="PW17" s="24">
        <f t="shared" si="120"/>
        <v>0</v>
      </c>
      <c r="PX17" s="23"/>
      <c r="PY17" s="8">
        <f t="shared" si="121"/>
        <v>0</v>
      </c>
      <c r="PZ17" s="2"/>
      <c r="QA17" s="2"/>
      <c r="QB17" s="24">
        <f t="shared" si="122"/>
        <v>0</v>
      </c>
      <c r="QC17" s="23"/>
      <c r="QD17" s="8">
        <f t="shared" si="123"/>
        <v>0</v>
      </c>
      <c r="QE17" s="2"/>
      <c r="QF17" s="2"/>
      <c r="QG17" s="24">
        <f t="shared" si="124"/>
        <v>0</v>
      </c>
      <c r="QH17" s="23"/>
      <c r="QI17" s="8">
        <f t="shared" si="125"/>
        <v>0</v>
      </c>
    </row>
    <row r="18" spans="1:451" ht="14.25" customHeight="1" x14ac:dyDescent="0.3">
      <c r="A18" s="5" t="s">
        <v>17</v>
      </c>
      <c r="B18" s="2">
        <v>2</v>
      </c>
      <c r="C18" s="2">
        <v>1</v>
      </c>
      <c r="D18" s="24">
        <f t="shared" si="0"/>
        <v>4</v>
      </c>
      <c r="E18" s="23"/>
      <c r="F18" s="2">
        <v>2</v>
      </c>
      <c r="G18" s="2">
        <v>0</v>
      </c>
      <c r="H18" s="24">
        <f t="shared" si="1"/>
        <v>4</v>
      </c>
      <c r="I18" s="23"/>
      <c r="J18" s="8">
        <f t="shared" si="2"/>
        <v>8</v>
      </c>
      <c r="K18" s="2">
        <v>3</v>
      </c>
      <c r="L18" s="2">
        <v>1</v>
      </c>
      <c r="M18" s="24">
        <f t="shared" si="3"/>
        <v>1</v>
      </c>
      <c r="N18" s="23"/>
      <c r="O18" s="2">
        <v>0</v>
      </c>
      <c r="P18" s="2">
        <v>3</v>
      </c>
      <c r="Q18" s="24">
        <f t="shared" si="4"/>
        <v>0</v>
      </c>
      <c r="R18" s="23"/>
      <c r="S18" s="8">
        <f t="shared" si="5"/>
        <v>1</v>
      </c>
      <c r="T18" s="2">
        <v>1</v>
      </c>
      <c r="U18" s="2">
        <v>4</v>
      </c>
      <c r="V18" s="24">
        <f t="shared" si="6"/>
        <v>1</v>
      </c>
      <c r="W18" s="23"/>
      <c r="X18" s="2">
        <v>3</v>
      </c>
      <c r="Y18" s="2">
        <v>2</v>
      </c>
      <c r="Z18" s="24">
        <f t="shared" si="7"/>
        <v>0</v>
      </c>
      <c r="AA18" s="23"/>
      <c r="AB18" s="2">
        <v>0</v>
      </c>
      <c r="AC18" s="2">
        <v>3</v>
      </c>
      <c r="AD18" s="24">
        <f t="shared" si="8"/>
        <v>4</v>
      </c>
      <c r="AE18" s="23"/>
      <c r="AF18" s="2">
        <v>2</v>
      </c>
      <c r="AG18" s="2">
        <v>2</v>
      </c>
      <c r="AH18" s="24">
        <f t="shared" si="9"/>
        <v>1</v>
      </c>
      <c r="AI18" s="23"/>
      <c r="AJ18" s="8">
        <f t="shared" si="10"/>
        <v>6</v>
      </c>
      <c r="AK18" s="2">
        <v>6</v>
      </c>
      <c r="AL18" s="2">
        <v>0</v>
      </c>
      <c r="AM18" s="24">
        <f t="shared" si="11"/>
        <v>3</v>
      </c>
      <c r="AN18" s="23"/>
      <c r="AO18" s="2">
        <v>2</v>
      </c>
      <c r="AP18" s="2">
        <v>1</v>
      </c>
      <c r="AQ18" s="24">
        <f t="shared" si="12"/>
        <v>1</v>
      </c>
      <c r="AR18" s="23"/>
      <c r="AS18" s="2">
        <v>1</v>
      </c>
      <c r="AT18" s="2">
        <v>2</v>
      </c>
      <c r="AU18" s="24">
        <f t="shared" si="13"/>
        <v>1</v>
      </c>
      <c r="AV18" s="23"/>
      <c r="AW18" s="2">
        <v>1</v>
      </c>
      <c r="AX18" s="2">
        <v>1</v>
      </c>
      <c r="AY18" s="24">
        <f t="shared" si="14"/>
        <v>1</v>
      </c>
      <c r="AZ18" s="23"/>
      <c r="BA18" s="8">
        <f t="shared" si="15"/>
        <v>6</v>
      </c>
      <c r="BB18" s="21">
        <v>6</v>
      </c>
      <c r="BC18" s="21">
        <v>0</v>
      </c>
      <c r="BD18" s="24">
        <f t="shared" si="16"/>
        <v>1</v>
      </c>
      <c r="BE18" s="23"/>
      <c r="BF18" s="21">
        <v>2</v>
      </c>
      <c r="BG18" s="21">
        <v>3</v>
      </c>
      <c r="BH18" s="24">
        <f t="shared" si="17"/>
        <v>0</v>
      </c>
      <c r="BI18" s="23"/>
      <c r="BJ18" s="21">
        <v>1</v>
      </c>
      <c r="BK18" s="21">
        <v>3</v>
      </c>
      <c r="BL18" s="24">
        <f t="shared" si="18"/>
        <v>1</v>
      </c>
      <c r="BM18" s="23"/>
      <c r="BN18" s="21">
        <v>1</v>
      </c>
      <c r="BO18" s="21">
        <v>2</v>
      </c>
      <c r="BP18" s="24">
        <f t="shared" si="19"/>
        <v>1</v>
      </c>
      <c r="BQ18" s="23"/>
      <c r="BR18" s="8">
        <f t="shared" si="20"/>
        <v>3</v>
      </c>
      <c r="BS18" s="2">
        <v>3</v>
      </c>
      <c r="BT18" s="2">
        <v>1</v>
      </c>
      <c r="BU18" s="24">
        <f t="shared" si="21"/>
        <v>5</v>
      </c>
      <c r="BV18" s="23"/>
      <c r="BW18" s="2">
        <v>0</v>
      </c>
      <c r="BX18" s="2">
        <v>2</v>
      </c>
      <c r="BY18" s="24">
        <f t="shared" si="22"/>
        <v>3</v>
      </c>
      <c r="BZ18" s="23"/>
      <c r="CA18" s="2">
        <v>3</v>
      </c>
      <c r="CB18" s="2">
        <v>0</v>
      </c>
      <c r="CC18" s="24">
        <f t="shared" si="23"/>
        <v>5</v>
      </c>
      <c r="CD18" s="23"/>
      <c r="CE18" s="2">
        <v>2</v>
      </c>
      <c r="CF18" s="2">
        <v>1</v>
      </c>
      <c r="CG18" s="24">
        <f t="shared" si="24"/>
        <v>4</v>
      </c>
      <c r="CH18" s="23"/>
      <c r="CI18" s="8">
        <f t="shared" si="25"/>
        <v>17</v>
      </c>
      <c r="CJ18" s="2">
        <v>3</v>
      </c>
      <c r="CK18" s="2">
        <v>0</v>
      </c>
      <c r="CL18" s="24">
        <f t="shared" si="26"/>
        <v>0</v>
      </c>
      <c r="CM18" s="23"/>
      <c r="CN18" s="2">
        <v>3</v>
      </c>
      <c r="CO18" s="2">
        <v>1</v>
      </c>
      <c r="CP18" s="24">
        <f t="shared" si="27"/>
        <v>3</v>
      </c>
      <c r="CQ18" s="23"/>
      <c r="CR18" s="2">
        <v>2</v>
      </c>
      <c r="CS18" s="2">
        <v>1</v>
      </c>
      <c r="CT18" s="24">
        <f t="shared" si="28"/>
        <v>3</v>
      </c>
      <c r="CU18" s="23"/>
      <c r="CV18" s="2">
        <v>1</v>
      </c>
      <c r="CW18" s="2">
        <v>3</v>
      </c>
      <c r="CX18" s="24">
        <f t="shared" si="29"/>
        <v>5</v>
      </c>
      <c r="CY18" s="23"/>
      <c r="CZ18" s="8">
        <f t="shared" si="30"/>
        <v>11</v>
      </c>
      <c r="DA18" s="2">
        <v>2</v>
      </c>
      <c r="DB18" s="2">
        <v>0</v>
      </c>
      <c r="DC18" s="24">
        <f t="shared" si="126"/>
        <v>0</v>
      </c>
      <c r="DD18" s="23"/>
      <c r="DE18" s="2">
        <v>2</v>
      </c>
      <c r="DF18" s="2">
        <v>1</v>
      </c>
      <c r="DG18" s="24">
        <f t="shared" si="127"/>
        <v>4</v>
      </c>
      <c r="DH18" s="23"/>
      <c r="DI18" s="2">
        <v>3</v>
      </c>
      <c r="DJ18" s="2">
        <v>0</v>
      </c>
      <c r="DK18" s="24">
        <f t="shared" si="128"/>
        <v>4</v>
      </c>
      <c r="DL18" s="23"/>
      <c r="DM18" s="2">
        <v>2</v>
      </c>
      <c r="DN18" s="2">
        <v>1</v>
      </c>
      <c r="DO18" s="24">
        <f t="shared" si="129"/>
        <v>3</v>
      </c>
      <c r="DP18" s="23"/>
      <c r="DQ18" s="8">
        <v>9.5</v>
      </c>
      <c r="DR18" s="2">
        <v>4</v>
      </c>
      <c r="DS18" s="2">
        <v>1</v>
      </c>
      <c r="DT18" s="24">
        <f t="shared" si="130"/>
        <v>3</v>
      </c>
      <c r="DU18" s="23"/>
      <c r="DV18" s="2">
        <v>1</v>
      </c>
      <c r="DW18" s="2">
        <v>3</v>
      </c>
      <c r="DX18" s="24">
        <f t="shared" si="131"/>
        <v>3</v>
      </c>
      <c r="DY18" s="23"/>
      <c r="DZ18" s="2">
        <v>4</v>
      </c>
      <c r="EA18" s="2">
        <v>0</v>
      </c>
      <c r="EB18" s="24">
        <f t="shared" si="132"/>
        <v>4</v>
      </c>
      <c r="EC18" s="23"/>
      <c r="ED18" s="2">
        <v>1</v>
      </c>
      <c r="EE18" s="2">
        <v>2</v>
      </c>
      <c r="EF18" s="24">
        <f t="shared" si="133"/>
        <v>3</v>
      </c>
      <c r="EG18" s="23"/>
      <c r="EH18" s="8">
        <f t="shared" si="32"/>
        <v>13</v>
      </c>
      <c r="EI18" s="2">
        <v>3</v>
      </c>
      <c r="EJ18" s="2">
        <v>1</v>
      </c>
      <c r="EK18" s="24">
        <f t="shared" si="33"/>
        <v>4</v>
      </c>
      <c r="EL18" s="23"/>
      <c r="EM18" s="2">
        <v>3</v>
      </c>
      <c r="EN18" s="2">
        <v>0</v>
      </c>
      <c r="EO18" s="24">
        <f t="shared" si="34"/>
        <v>3</v>
      </c>
      <c r="EP18" s="23"/>
      <c r="EQ18" s="2">
        <v>4</v>
      </c>
      <c r="ER18" s="2">
        <v>0</v>
      </c>
      <c r="ES18" s="24">
        <f t="shared" si="35"/>
        <v>1</v>
      </c>
      <c r="ET18" s="23"/>
      <c r="EU18" s="2">
        <v>1</v>
      </c>
      <c r="EV18" s="2">
        <v>2</v>
      </c>
      <c r="EW18" s="24">
        <f t="shared" si="36"/>
        <v>3</v>
      </c>
      <c r="EX18" s="23"/>
      <c r="EY18" s="8">
        <f t="shared" si="37"/>
        <v>11</v>
      </c>
      <c r="EZ18" s="2">
        <v>4</v>
      </c>
      <c r="FA18" s="2">
        <v>1</v>
      </c>
      <c r="FB18" s="24"/>
      <c r="FC18" s="23"/>
      <c r="FD18" s="2">
        <v>2</v>
      </c>
      <c r="FE18" s="2">
        <v>1</v>
      </c>
      <c r="FF18" s="24"/>
      <c r="FG18" s="23"/>
      <c r="FH18" s="2">
        <v>2</v>
      </c>
      <c r="FI18" s="2">
        <v>0</v>
      </c>
      <c r="FJ18" s="24"/>
      <c r="FK18" s="23"/>
      <c r="FL18" s="2">
        <v>0</v>
      </c>
      <c r="FM18" s="2">
        <v>2</v>
      </c>
      <c r="FN18" s="24"/>
      <c r="FO18" s="23"/>
      <c r="FP18" s="8">
        <f t="shared" si="38"/>
        <v>0</v>
      </c>
      <c r="FQ18" s="2"/>
      <c r="FR18" s="2"/>
      <c r="FS18" s="24">
        <f t="shared" si="39"/>
        <v>0</v>
      </c>
      <c r="FT18" s="23"/>
      <c r="FU18" s="2"/>
      <c r="FV18" s="2"/>
      <c r="FW18" s="24">
        <f t="shared" si="40"/>
        <v>0</v>
      </c>
      <c r="FX18" s="23"/>
      <c r="FY18" s="2"/>
      <c r="FZ18" s="2"/>
      <c r="GA18" s="24">
        <f t="shared" si="41"/>
        <v>0</v>
      </c>
      <c r="GB18" s="23"/>
      <c r="GC18" s="2"/>
      <c r="GD18" s="2"/>
      <c r="GE18" s="24">
        <f t="shared" si="42"/>
        <v>0</v>
      </c>
      <c r="GF18" s="23"/>
      <c r="GG18" s="8">
        <f t="shared" si="43"/>
        <v>0</v>
      </c>
      <c r="GH18" s="2"/>
      <c r="GI18" s="2"/>
      <c r="GJ18" s="24">
        <f t="shared" si="44"/>
        <v>0</v>
      </c>
      <c r="GK18" s="23"/>
      <c r="GL18" s="2"/>
      <c r="GM18" s="2"/>
      <c r="GN18" s="24">
        <f t="shared" si="45"/>
        <v>0</v>
      </c>
      <c r="GO18" s="23"/>
      <c r="GP18" s="2"/>
      <c r="GQ18" s="2"/>
      <c r="GR18" s="24">
        <f t="shared" si="46"/>
        <v>0</v>
      </c>
      <c r="GS18" s="23"/>
      <c r="GT18" s="2"/>
      <c r="GU18" s="2"/>
      <c r="GV18" s="24">
        <f t="shared" si="47"/>
        <v>0</v>
      </c>
      <c r="GW18" s="23"/>
      <c r="GX18" s="8">
        <f t="shared" si="48"/>
        <v>0</v>
      </c>
      <c r="GY18" s="2"/>
      <c r="GZ18" s="2"/>
      <c r="HA18" s="24">
        <f t="shared" si="49"/>
        <v>0</v>
      </c>
      <c r="HB18" s="23"/>
      <c r="HC18" s="2"/>
      <c r="HD18" s="2"/>
      <c r="HE18" s="24">
        <f t="shared" si="50"/>
        <v>0</v>
      </c>
      <c r="HF18" s="23"/>
      <c r="HG18" s="2"/>
      <c r="HH18" s="2"/>
      <c r="HI18" s="24">
        <f t="shared" si="51"/>
        <v>0</v>
      </c>
      <c r="HJ18" s="23"/>
      <c r="HK18" s="2"/>
      <c r="HL18" s="2"/>
      <c r="HM18" s="24">
        <f t="shared" si="52"/>
        <v>0</v>
      </c>
      <c r="HN18" s="23"/>
      <c r="HO18" s="2"/>
      <c r="HP18" s="2"/>
      <c r="HQ18" s="24">
        <f t="shared" si="53"/>
        <v>0</v>
      </c>
      <c r="HR18" s="23"/>
      <c r="HS18" s="2"/>
      <c r="HT18" s="2"/>
      <c r="HU18" s="24">
        <f t="shared" si="54"/>
        <v>0</v>
      </c>
      <c r="HV18" s="23"/>
      <c r="HW18" s="8">
        <f t="shared" si="55"/>
        <v>0</v>
      </c>
      <c r="HX18" s="2"/>
      <c r="HY18" s="2"/>
      <c r="HZ18" s="24">
        <f t="shared" si="56"/>
        <v>0</v>
      </c>
      <c r="IA18" s="23"/>
      <c r="IB18" s="2"/>
      <c r="IC18" s="2"/>
      <c r="ID18" s="24">
        <f t="shared" si="57"/>
        <v>0</v>
      </c>
      <c r="IE18" s="23"/>
      <c r="IF18" s="2"/>
      <c r="IG18" s="2"/>
      <c r="IH18" s="24">
        <f t="shared" si="58"/>
        <v>0</v>
      </c>
      <c r="II18" s="23"/>
      <c r="IJ18" s="2"/>
      <c r="IK18" s="2"/>
      <c r="IL18" s="24">
        <f t="shared" si="59"/>
        <v>0</v>
      </c>
      <c r="IM18" s="23"/>
      <c r="IN18" s="2"/>
      <c r="IO18" s="2"/>
      <c r="IP18" s="24">
        <f t="shared" si="60"/>
        <v>0</v>
      </c>
      <c r="IQ18" s="23"/>
      <c r="IR18" s="2"/>
      <c r="IS18" s="2"/>
      <c r="IT18" s="24">
        <f t="shared" si="61"/>
        <v>0</v>
      </c>
      <c r="IU18" s="23"/>
      <c r="IV18" s="8">
        <f t="shared" si="62"/>
        <v>0</v>
      </c>
      <c r="IW18" s="2"/>
      <c r="IX18" s="2"/>
      <c r="IY18" s="24">
        <f t="shared" si="63"/>
        <v>0</v>
      </c>
      <c r="IZ18" s="23"/>
      <c r="JA18" s="2"/>
      <c r="JB18" s="2"/>
      <c r="JC18" s="24">
        <f t="shared" si="64"/>
        <v>0</v>
      </c>
      <c r="JD18" s="23"/>
      <c r="JE18" s="2"/>
      <c r="JF18" s="2"/>
      <c r="JG18" s="24">
        <f t="shared" si="65"/>
        <v>0</v>
      </c>
      <c r="JH18" s="23"/>
      <c r="JI18" s="2"/>
      <c r="JJ18" s="2"/>
      <c r="JK18" s="24">
        <f t="shared" si="66"/>
        <v>0</v>
      </c>
      <c r="JL18" s="23"/>
      <c r="JM18" s="2"/>
      <c r="JN18" s="2"/>
      <c r="JO18" s="24">
        <f t="shared" si="67"/>
        <v>0</v>
      </c>
      <c r="JP18" s="23"/>
      <c r="JQ18" s="2"/>
      <c r="JR18" s="2"/>
      <c r="JS18" s="24">
        <f t="shared" si="68"/>
        <v>0</v>
      </c>
      <c r="JT18" s="23"/>
      <c r="JU18" s="8">
        <f t="shared" si="69"/>
        <v>0</v>
      </c>
      <c r="JV18" s="2"/>
      <c r="JW18" s="2"/>
      <c r="JX18" s="24">
        <f t="shared" si="70"/>
        <v>0</v>
      </c>
      <c r="JY18" s="23"/>
      <c r="JZ18" s="2"/>
      <c r="KA18" s="2"/>
      <c r="KB18" s="24">
        <f t="shared" si="71"/>
        <v>0</v>
      </c>
      <c r="KC18" s="23"/>
      <c r="KD18" s="2"/>
      <c r="KE18" s="2"/>
      <c r="KF18" s="24">
        <f t="shared" si="72"/>
        <v>0</v>
      </c>
      <c r="KG18" s="23"/>
      <c r="KH18" s="2"/>
      <c r="KI18" s="2"/>
      <c r="KJ18" s="24">
        <f t="shared" si="73"/>
        <v>0</v>
      </c>
      <c r="KK18" s="23"/>
      <c r="KL18" s="2"/>
      <c r="KM18" s="2"/>
      <c r="KN18" s="24">
        <f t="shared" si="74"/>
        <v>0</v>
      </c>
      <c r="KO18" s="23"/>
      <c r="KP18" s="2"/>
      <c r="KQ18" s="2"/>
      <c r="KR18" s="24">
        <f t="shared" si="75"/>
        <v>0</v>
      </c>
      <c r="KS18" s="23"/>
      <c r="KT18" s="8">
        <f t="shared" si="76"/>
        <v>0</v>
      </c>
      <c r="KU18" s="2"/>
      <c r="KV18" s="2"/>
      <c r="KW18" s="24">
        <f t="shared" si="77"/>
        <v>0</v>
      </c>
      <c r="KX18" s="23"/>
      <c r="KY18" s="8">
        <f t="shared" si="78"/>
        <v>0</v>
      </c>
      <c r="KZ18" s="2"/>
      <c r="LA18" s="2"/>
      <c r="LB18" s="24">
        <f t="shared" si="79"/>
        <v>0</v>
      </c>
      <c r="LC18" s="23"/>
      <c r="LD18" s="2"/>
      <c r="LE18" s="2"/>
      <c r="LF18" s="24">
        <f t="shared" si="80"/>
        <v>0</v>
      </c>
      <c r="LG18" s="23"/>
      <c r="LH18" s="2"/>
      <c r="LI18" s="2"/>
      <c r="LJ18" s="24">
        <f t="shared" si="81"/>
        <v>0</v>
      </c>
      <c r="LK18" s="23"/>
      <c r="LL18" s="8">
        <f t="shared" si="82"/>
        <v>0</v>
      </c>
      <c r="LM18" s="2"/>
      <c r="LN18" s="2"/>
      <c r="LO18" s="24">
        <f t="shared" si="83"/>
        <v>0</v>
      </c>
      <c r="LP18" s="23"/>
      <c r="LQ18" s="2"/>
      <c r="LR18" s="2"/>
      <c r="LS18" s="24">
        <f t="shared" si="84"/>
        <v>0</v>
      </c>
      <c r="LT18" s="23"/>
      <c r="LU18" s="2"/>
      <c r="LV18" s="2"/>
      <c r="LW18" s="24">
        <f t="shared" si="85"/>
        <v>0</v>
      </c>
      <c r="LX18" s="23"/>
      <c r="LY18" s="8">
        <f t="shared" si="86"/>
        <v>0</v>
      </c>
      <c r="LZ18" s="2"/>
      <c r="MA18" s="2"/>
      <c r="MB18" s="24">
        <f t="shared" si="87"/>
        <v>0</v>
      </c>
      <c r="MC18" s="23"/>
      <c r="MD18" s="2"/>
      <c r="ME18" s="2"/>
      <c r="MF18" s="24">
        <f t="shared" si="88"/>
        <v>0</v>
      </c>
      <c r="MG18" s="23"/>
      <c r="MH18" s="2"/>
      <c r="MI18" s="2"/>
      <c r="MJ18" s="24">
        <f t="shared" si="89"/>
        <v>0</v>
      </c>
      <c r="MK18" s="23"/>
      <c r="ML18" s="8">
        <f t="shared" si="90"/>
        <v>0</v>
      </c>
      <c r="MM18" s="2"/>
      <c r="MN18" s="2"/>
      <c r="MO18" s="24">
        <f t="shared" si="91"/>
        <v>0</v>
      </c>
      <c r="MP18" s="23"/>
      <c r="MQ18" s="2"/>
      <c r="MR18" s="2"/>
      <c r="MS18" s="24">
        <f t="shared" si="92"/>
        <v>0</v>
      </c>
      <c r="MT18" s="23"/>
      <c r="MU18" s="2"/>
      <c r="MV18" s="2"/>
      <c r="MW18" s="24">
        <f t="shared" si="93"/>
        <v>0</v>
      </c>
      <c r="MX18" s="23"/>
      <c r="MY18" s="8">
        <f t="shared" si="94"/>
        <v>0</v>
      </c>
      <c r="MZ18" s="2"/>
      <c r="NA18" s="2"/>
      <c r="NB18" s="24">
        <f t="shared" si="95"/>
        <v>0</v>
      </c>
      <c r="NC18" s="23"/>
      <c r="ND18" s="2"/>
      <c r="NE18" s="2"/>
      <c r="NF18" s="24">
        <f t="shared" si="96"/>
        <v>0</v>
      </c>
      <c r="NG18" s="23"/>
      <c r="NH18" s="2"/>
      <c r="NI18" s="2"/>
      <c r="NJ18" s="24">
        <f t="shared" si="97"/>
        <v>0</v>
      </c>
      <c r="NK18" s="23"/>
      <c r="NL18" s="8">
        <f t="shared" si="98"/>
        <v>0</v>
      </c>
      <c r="NM18" s="2"/>
      <c r="NN18" s="2"/>
      <c r="NO18" s="24">
        <f t="shared" si="99"/>
        <v>0</v>
      </c>
      <c r="NP18" s="23"/>
      <c r="NQ18" s="2"/>
      <c r="NR18" s="2"/>
      <c r="NS18" s="24">
        <f t="shared" si="100"/>
        <v>0</v>
      </c>
      <c r="NT18" s="23"/>
      <c r="NU18" s="8">
        <f t="shared" si="101"/>
        <v>0</v>
      </c>
      <c r="NV18" s="2"/>
      <c r="NW18" s="2"/>
      <c r="NX18" s="24">
        <f t="shared" si="102"/>
        <v>0</v>
      </c>
      <c r="NY18" s="23"/>
      <c r="NZ18" s="2"/>
      <c r="OA18" s="2"/>
      <c r="OB18" s="24">
        <f t="shared" si="103"/>
        <v>0</v>
      </c>
      <c r="OC18" s="23"/>
      <c r="OD18" s="8">
        <f t="shared" si="104"/>
        <v>0</v>
      </c>
      <c r="OE18" s="2"/>
      <c r="OF18" s="2"/>
      <c r="OG18" s="24">
        <f t="shared" si="105"/>
        <v>0</v>
      </c>
      <c r="OH18" s="23"/>
      <c r="OI18" s="2"/>
      <c r="OJ18" s="2"/>
      <c r="OK18" s="24">
        <f t="shared" si="106"/>
        <v>0</v>
      </c>
      <c r="OL18" s="23"/>
      <c r="OM18" s="8">
        <f t="shared" si="107"/>
        <v>0</v>
      </c>
      <c r="ON18" s="2"/>
      <c r="OO18" s="2"/>
      <c r="OP18" s="24">
        <f t="shared" si="108"/>
        <v>0</v>
      </c>
      <c r="OQ18" s="23"/>
      <c r="OR18" s="2"/>
      <c r="OS18" s="2"/>
      <c r="OT18" s="24">
        <f t="shared" si="109"/>
        <v>0</v>
      </c>
      <c r="OU18" s="23"/>
      <c r="OV18" s="8">
        <f t="shared" si="110"/>
        <v>0</v>
      </c>
      <c r="OW18" s="2"/>
      <c r="OX18" s="2"/>
      <c r="OY18" s="24">
        <f t="shared" si="111"/>
        <v>0</v>
      </c>
      <c r="OZ18" s="23"/>
      <c r="PA18" s="8">
        <f t="shared" si="112"/>
        <v>0</v>
      </c>
      <c r="PB18" s="2"/>
      <c r="PC18" s="2"/>
      <c r="PD18" s="24">
        <f t="shared" si="113"/>
        <v>0</v>
      </c>
      <c r="PE18" s="23"/>
      <c r="PF18" s="8">
        <f t="shared" si="114"/>
        <v>0</v>
      </c>
      <c r="PG18" s="2"/>
      <c r="PH18" s="2"/>
      <c r="PI18" s="24">
        <f t="shared" si="115"/>
        <v>0</v>
      </c>
      <c r="PJ18" s="23"/>
      <c r="PK18" s="2"/>
      <c r="PL18" s="2"/>
      <c r="PM18" s="24">
        <f t="shared" si="116"/>
        <v>0</v>
      </c>
      <c r="PN18" s="23"/>
      <c r="PO18" s="8">
        <f t="shared" si="117"/>
        <v>0</v>
      </c>
      <c r="PP18" s="2"/>
      <c r="PQ18" s="2"/>
      <c r="PR18" s="24">
        <f t="shared" si="118"/>
        <v>0</v>
      </c>
      <c r="PS18" s="23"/>
      <c r="PT18" s="8">
        <f t="shared" si="119"/>
        <v>0</v>
      </c>
      <c r="PU18" s="2"/>
      <c r="PV18" s="2"/>
      <c r="PW18" s="24">
        <f t="shared" si="120"/>
        <v>0</v>
      </c>
      <c r="PX18" s="23"/>
      <c r="PY18" s="8">
        <f t="shared" si="121"/>
        <v>0</v>
      </c>
      <c r="PZ18" s="2"/>
      <c r="QA18" s="2"/>
      <c r="QB18" s="24">
        <f t="shared" si="122"/>
        <v>0</v>
      </c>
      <c r="QC18" s="23"/>
      <c r="QD18" s="8">
        <f t="shared" si="123"/>
        <v>0</v>
      </c>
      <c r="QE18" s="2"/>
      <c r="QF18" s="2"/>
      <c r="QG18" s="24">
        <f t="shared" si="124"/>
        <v>0</v>
      </c>
      <c r="QH18" s="23"/>
      <c r="QI18" s="8">
        <f t="shared" si="125"/>
        <v>0</v>
      </c>
    </row>
    <row r="19" spans="1:451" ht="14.25" customHeight="1" x14ac:dyDescent="0.3">
      <c r="A19" s="5" t="s">
        <v>18</v>
      </c>
      <c r="B19" s="2">
        <v>2</v>
      </c>
      <c r="C19" s="2">
        <v>0</v>
      </c>
      <c r="D19" s="24">
        <f t="shared" si="0"/>
        <v>5</v>
      </c>
      <c r="E19" s="23"/>
      <c r="F19" s="2">
        <v>1</v>
      </c>
      <c r="G19" s="2">
        <v>1</v>
      </c>
      <c r="H19" s="24">
        <f t="shared" si="1"/>
        <v>1</v>
      </c>
      <c r="I19" s="23"/>
      <c r="J19" s="8">
        <f t="shared" si="2"/>
        <v>6</v>
      </c>
      <c r="K19" s="2">
        <v>1</v>
      </c>
      <c r="L19" s="2">
        <v>1</v>
      </c>
      <c r="M19" s="24">
        <f t="shared" si="3"/>
        <v>5</v>
      </c>
      <c r="N19" s="23"/>
      <c r="O19" s="2">
        <v>1</v>
      </c>
      <c r="P19" s="2">
        <v>0</v>
      </c>
      <c r="Q19" s="24">
        <f t="shared" si="4"/>
        <v>3</v>
      </c>
      <c r="R19" s="23"/>
      <c r="S19" s="8">
        <f t="shared" si="5"/>
        <v>8</v>
      </c>
      <c r="T19" s="2">
        <v>0</v>
      </c>
      <c r="U19" s="2">
        <v>2</v>
      </c>
      <c r="V19" s="24">
        <f t="shared" si="6"/>
        <v>0</v>
      </c>
      <c r="W19" s="23"/>
      <c r="X19" s="2">
        <v>2</v>
      </c>
      <c r="Y19" s="2">
        <v>1</v>
      </c>
      <c r="Z19" s="24">
        <f t="shared" si="7"/>
        <v>1</v>
      </c>
      <c r="AA19" s="23"/>
      <c r="AB19" s="2">
        <v>0</v>
      </c>
      <c r="AC19" s="2">
        <v>1</v>
      </c>
      <c r="AD19" s="24">
        <f t="shared" si="8"/>
        <v>5</v>
      </c>
      <c r="AE19" s="23"/>
      <c r="AF19" s="2">
        <v>1</v>
      </c>
      <c r="AG19" s="2">
        <v>2</v>
      </c>
      <c r="AH19" s="24">
        <f t="shared" si="9"/>
        <v>0</v>
      </c>
      <c r="AI19" s="23"/>
      <c r="AJ19" s="8">
        <f t="shared" si="10"/>
        <v>6</v>
      </c>
      <c r="AK19" s="2">
        <v>5</v>
      </c>
      <c r="AL19" s="2">
        <v>0</v>
      </c>
      <c r="AM19" s="24">
        <f t="shared" si="11"/>
        <v>3</v>
      </c>
      <c r="AN19" s="23"/>
      <c r="AO19" s="2">
        <v>2</v>
      </c>
      <c r="AP19" s="2">
        <v>0</v>
      </c>
      <c r="AQ19" s="24">
        <f t="shared" si="12"/>
        <v>1</v>
      </c>
      <c r="AR19" s="23"/>
      <c r="AS19" s="2">
        <v>1</v>
      </c>
      <c r="AT19" s="2">
        <v>1</v>
      </c>
      <c r="AU19" s="24">
        <f t="shared" si="13"/>
        <v>1</v>
      </c>
      <c r="AV19" s="23"/>
      <c r="AW19" s="2">
        <v>2</v>
      </c>
      <c r="AX19" s="2">
        <v>0</v>
      </c>
      <c r="AY19" s="24">
        <f t="shared" si="14"/>
        <v>3</v>
      </c>
      <c r="AZ19" s="23"/>
      <c r="BA19" s="8">
        <f t="shared" si="15"/>
        <v>8</v>
      </c>
      <c r="BB19" s="2">
        <v>3</v>
      </c>
      <c r="BC19" s="2">
        <v>0</v>
      </c>
      <c r="BD19" s="24">
        <f t="shared" si="16"/>
        <v>1</v>
      </c>
      <c r="BE19" s="23"/>
      <c r="BF19" s="2">
        <v>2</v>
      </c>
      <c r="BG19" s="2">
        <v>0</v>
      </c>
      <c r="BH19" s="24">
        <f t="shared" si="17"/>
        <v>0</v>
      </c>
      <c r="BI19" s="23"/>
      <c r="BJ19" s="2">
        <v>0</v>
      </c>
      <c r="BK19" s="2">
        <v>2</v>
      </c>
      <c r="BL19" s="24">
        <f t="shared" si="18"/>
        <v>0</v>
      </c>
      <c r="BM19" s="23"/>
      <c r="BN19" s="2">
        <v>2</v>
      </c>
      <c r="BO19" s="2">
        <v>0</v>
      </c>
      <c r="BP19" s="24">
        <f t="shared" si="19"/>
        <v>1</v>
      </c>
      <c r="BQ19" s="23"/>
      <c r="BR19" s="8">
        <f t="shared" si="20"/>
        <v>2</v>
      </c>
      <c r="BS19" s="2">
        <v>3</v>
      </c>
      <c r="BT19" s="2">
        <v>1</v>
      </c>
      <c r="BU19" s="24">
        <f t="shared" si="21"/>
        <v>5</v>
      </c>
      <c r="BV19" s="23"/>
      <c r="BW19" s="2">
        <v>0</v>
      </c>
      <c r="BX19" s="2">
        <v>3</v>
      </c>
      <c r="BY19" s="24">
        <f t="shared" si="22"/>
        <v>3</v>
      </c>
      <c r="BZ19" s="23"/>
      <c r="CA19" s="2">
        <v>3</v>
      </c>
      <c r="CB19" s="2">
        <v>0</v>
      </c>
      <c r="CC19" s="24">
        <f t="shared" si="23"/>
        <v>5</v>
      </c>
      <c r="CD19" s="23"/>
      <c r="CE19" s="2">
        <v>2</v>
      </c>
      <c r="CF19" s="2">
        <v>0</v>
      </c>
      <c r="CG19" s="24">
        <f t="shared" si="24"/>
        <v>3</v>
      </c>
      <c r="CH19" s="23"/>
      <c r="CI19" s="8">
        <f t="shared" si="25"/>
        <v>16</v>
      </c>
      <c r="CJ19" s="2">
        <v>3</v>
      </c>
      <c r="CK19" s="2">
        <v>1</v>
      </c>
      <c r="CL19" s="24">
        <f t="shared" si="26"/>
        <v>1</v>
      </c>
      <c r="CM19" s="23"/>
      <c r="CN19" s="2">
        <v>2</v>
      </c>
      <c r="CO19" s="2">
        <v>1</v>
      </c>
      <c r="CP19" s="24">
        <f t="shared" si="27"/>
        <v>3</v>
      </c>
      <c r="CQ19" s="23"/>
      <c r="CR19" s="2">
        <v>2</v>
      </c>
      <c r="CS19" s="2">
        <v>0</v>
      </c>
      <c r="CT19" s="24">
        <f t="shared" si="28"/>
        <v>4</v>
      </c>
      <c r="CU19" s="23"/>
      <c r="CV19" s="2">
        <v>0</v>
      </c>
      <c r="CW19" s="2">
        <v>2</v>
      </c>
      <c r="CX19" s="24">
        <f t="shared" si="29"/>
        <v>3</v>
      </c>
      <c r="CY19" s="23"/>
      <c r="CZ19" s="8">
        <f t="shared" si="30"/>
        <v>11</v>
      </c>
      <c r="DA19" s="2">
        <v>2</v>
      </c>
      <c r="DB19" s="2">
        <v>0</v>
      </c>
      <c r="DC19" s="24">
        <f t="shared" si="126"/>
        <v>0</v>
      </c>
      <c r="DD19" s="23"/>
      <c r="DE19" s="2">
        <v>1</v>
      </c>
      <c r="DF19" s="2">
        <v>1</v>
      </c>
      <c r="DG19" s="24">
        <f t="shared" si="127"/>
        <v>1</v>
      </c>
      <c r="DH19" s="23"/>
      <c r="DI19" s="2">
        <v>2</v>
      </c>
      <c r="DJ19" s="2">
        <v>1</v>
      </c>
      <c r="DK19" s="24">
        <f t="shared" si="128"/>
        <v>3</v>
      </c>
      <c r="DL19" s="23"/>
      <c r="DM19" s="2">
        <v>1</v>
      </c>
      <c r="DN19" s="2">
        <v>2</v>
      </c>
      <c r="DO19" s="24">
        <f t="shared" si="129"/>
        <v>1</v>
      </c>
      <c r="DP19" s="23"/>
      <c r="DQ19" s="8">
        <f t="shared" si="31"/>
        <v>5</v>
      </c>
      <c r="DR19" s="2">
        <v>2</v>
      </c>
      <c r="DS19" s="2">
        <v>1</v>
      </c>
      <c r="DT19" s="24">
        <f t="shared" si="130"/>
        <v>4</v>
      </c>
      <c r="DU19" s="23"/>
      <c r="DV19" s="2">
        <v>1</v>
      </c>
      <c r="DW19" s="2">
        <v>1</v>
      </c>
      <c r="DX19" s="24">
        <f t="shared" si="131"/>
        <v>1</v>
      </c>
      <c r="DY19" s="23"/>
      <c r="DZ19" s="2">
        <v>3</v>
      </c>
      <c r="EA19" s="2">
        <v>0</v>
      </c>
      <c r="EB19" s="24">
        <f t="shared" si="132"/>
        <v>5</v>
      </c>
      <c r="EC19" s="23"/>
      <c r="ED19" s="2">
        <v>2</v>
      </c>
      <c r="EE19" s="2">
        <v>1</v>
      </c>
      <c r="EF19" s="24">
        <f t="shared" si="133"/>
        <v>1</v>
      </c>
      <c r="EG19" s="23"/>
      <c r="EH19" s="8">
        <f t="shared" si="32"/>
        <v>11</v>
      </c>
      <c r="EI19" s="2">
        <v>1</v>
      </c>
      <c r="EJ19" s="2">
        <v>1</v>
      </c>
      <c r="EK19" s="24">
        <f t="shared" si="33"/>
        <v>1</v>
      </c>
      <c r="EL19" s="23"/>
      <c r="EM19" s="2">
        <v>3</v>
      </c>
      <c r="EN19" s="2">
        <v>1</v>
      </c>
      <c r="EO19" s="24">
        <f t="shared" si="34"/>
        <v>4</v>
      </c>
      <c r="EP19" s="23"/>
      <c r="EQ19" s="2">
        <v>4</v>
      </c>
      <c r="ER19" s="2">
        <v>0</v>
      </c>
      <c r="ES19" s="24">
        <f t="shared" si="35"/>
        <v>1</v>
      </c>
      <c r="ET19" s="23"/>
      <c r="EU19" s="2">
        <v>0</v>
      </c>
      <c r="EV19" s="2">
        <v>2</v>
      </c>
      <c r="EW19" s="24">
        <f t="shared" si="36"/>
        <v>4</v>
      </c>
      <c r="EX19" s="23"/>
      <c r="EY19" s="8">
        <f t="shared" si="37"/>
        <v>10</v>
      </c>
      <c r="EZ19" s="21">
        <v>3</v>
      </c>
      <c r="FA19" s="21">
        <v>0</v>
      </c>
      <c r="FB19" s="24"/>
      <c r="FC19" s="23"/>
      <c r="FD19" s="21">
        <v>2</v>
      </c>
      <c r="FE19" s="21">
        <v>1</v>
      </c>
      <c r="FF19" s="24"/>
      <c r="FG19" s="23"/>
      <c r="FH19" s="21">
        <v>2</v>
      </c>
      <c r="FI19" s="21">
        <v>0</v>
      </c>
      <c r="FJ19" s="24"/>
      <c r="FK19" s="23"/>
      <c r="FL19" s="21">
        <v>2</v>
      </c>
      <c r="FM19" s="21">
        <v>0</v>
      </c>
      <c r="FN19" s="24"/>
      <c r="FO19" s="23"/>
      <c r="FP19" s="8">
        <f t="shared" si="38"/>
        <v>0</v>
      </c>
      <c r="FQ19" s="2"/>
      <c r="FR19" s="2"/>
      <c r="FS19" s="24">
        <f t="shared" si="39"/>
        <v>0</v>
      </c>
      <c r="FT19" s="23"/>
      <c r="FU19" s="2"/>
      <c r="FV19" s="2"/>
      <c r="FW19" s="24">
        <f t="shared" si="40"/>
        <v>0</v>
      </c>
      <c r="FX19" s="23"/>
      <c r="FY19" s="2"/>
      <c r="FZ19" s="2"/>
      <c r="GA19" s="24">
        <f t="shared" si="41"/>
        <v>0</v>
      </c>
      <c r="GB19" s="23"/>
      <c r="GC19" s="2"/>
      <c r="GD19" s="2"/>
      <c r="GE19" s="24">
        <f t="shared" si="42"/>
        <v>0</v>
      </c>
      <c r="GF19" s="23"/>
      <c r="GG19" s="8">
        <f t="shared" si="43"/>
        <v>0</v>
      </c>
      <c r="GH19" s="2"/>
      <c r="GI19" s="2"/>
      <c r="GJ19" s="24">
        <f t="shared" si="44"/>
        <v>0</v>
      </c>
      <c r="GK19" s="23"/>
      <c r="GL19" s="2"/>
      <c r="GM19" s="2"/>
      <c r="GN19" s="24">
        <f t="shared" si="45"/>
        <v>0</v>
      </c>
      <c r="GO19" s="23"/>
      <c r="GP19" s="2"/>
      <c r="GQ19" s="2"/>
      <c r="GR19" s="24">
        <f t="shared" si="46"/>
        <v>0</v>
      </c>
      <c r="GS19" s="23"/>
      <c r="GT19" s="2"/>
      <c r="GU19" s="2"/>
      <c r="GV19" s="24">
        <f t="shared" si="47"/>
        <v>0</v>
      </c>
      <c r="GW19" s="23"/>
      <c r="GX19" s="8">
        <f t="shared" si="48"/>
        <v>0</v>
      </c>
      <c r="GY19" s="2"/>
      <c r="GZ19" s="2"/>
      <c r="HA19" s="24">
        <f t="shared" si="49"/>
        <v>0</v>
      </c>
      <c r="HB19" s="23"/>
      <c r="HC19" s="2"/>
      <c r="HD19" s="2"/>
      <c r="HE19" s="24">
        <f t="shared" si="50"/>
        <v>0</v>
      </c>
      <c r="HF19" s="23"/>
      <c r="HG19" s="2"/>
      <c r="HH19" s="2"/>
      <c r="HI19" s="24">
        <f t="shared" si="51"/>
        <v>0</v>
      </c>
      <c r="HJ19" s="23"/>
      <c r="HK19" s="2"/>
      <c r="HL19" s="2"/>
      <c r="HM19" s="24">
        <f t="shared" si="52"/>
        <v>0</v>
      </c>
      <c r="HN19" s="23"/>
      <c r="HO19" s="2"/>
      <c r="HP19" s="2"/>
      <c r="HQ19" s="24">
        <f t="shared" si="53"/>
        <v>0</v>
      </c>
      <c r="HR19" s="23"/>
      <c r="HS19" s="2"/>
      <c r="HT19" s="2"/>
      <c r="HU19" s="24">
        <f t="shared" si="54"/>
        <v>0</v>
      </c>
      <c r="HV19" s="23"/>
      <c r="HW19" s="8">
        <f t="shared" si="55"/>
        <v>0</v>
      </c>
      <c r="HX19" s="2"/>
      <c r="HY19" s="2"/>
      <c r="HZ19" s="24">
        <f t="shared" si="56"/>
        <v>0</v>
      </c>
      <c r="IA19" s="23"/>
      <c r="IB19" s="2"/>
      <c r="IC19" s="2"/>
      <c r="ID19" s="24">
        <f t="shared" si="57"/>
        <v>0</v>
      </c>
      <c r="IE19" s="23"/>
      <c r="IF19" s="2"/>
      <c r="IG19" s="2"/>
      <c r="IH19" s="24">
        <f t="shared" si="58"/>
        <v>0</v>
      </c>
      <c r="II19" s="23"/>
      <c r="IJ19" s="2"/>
      <c r="IK19" s="2"/>
      <c r="IL19" s="24">
        <f t="shared" si="59"/>
        <v>0</v>
      </c>
      <c r="IM19" s="23"/>
      <c r="IN19" s="2"/>
      <c r="IO19" s="2"/>
      <c r="IP19" s="24">
        <f t="shared" si="60"/>
        <v>0</v>
      </c>
      <c r="IQ19" s="23"/>
      <c r="IR19" s="2"/>
      <c r="IS19" s="2"/>
      <c r="IT19" s="24">
        <f t="shared" si="61"/>
        <v>0</v>
      </c>
      <c r="IU19" s="23"/>
      <c r="IV19" s="8">
        <f t="shared" si="62"/>
        <v>0</v>
      </c>
      <c r="IW19" s="2"/>
      <c r="IX19" s="2"/>
      <c r="IY19" s="24">
        <f t="shared" si="63"/>
        <v>0</v>
      </c>
      <c r="IZ19" s="23"/>
      <c r="JA19" s="2"/>
      <c r="JB19" s="2"/>
      <c r="JC19" s="24">
        <f t="shared" si="64"/>
        <v>0</v>
      </c>
      <c r="JD19" s="23"/>
      <c r="JE19" s="2"/>
      <c r="JF19" s="2"/>
      <c r="JG19" s="24">
        <f t="shared" si="65"/>
        <v>0</v>
      </c>
      <c r="JH19" s="23"/>
      <c r="JI19" s="2"/>
      <c r="JJ19" s="2"/>
      <c r="JK19" s="24">
        <f t="shared" si="66"/>
        <v>0</v>
      </c>
      <c r="JL19" s="23"/>
      <c r="JM19" s="2"/>
      <c r="JN19" s="2"/>
      <c r="JO19" s="24">
        <f t="shared" si="67"/>
        <v>0</v>
      </c>
      <c r="JP19" s="23"/>
      <c r="JQ19" s="2"/>
      <c r="JR19" s="2"/>
      <c r="JS19" s="24">
        <f t="shared" si="68"/>
        <v>0</v>
      </c>
      <c r="JT19" s="23"/>
      <c r="JU19" s="8">
        <f t="shared" si="69"/>
        <v>0</v>
      </c>
      <c r="JV19" s="2"/>
      <c r="JW19" s="2"/>
      <c r="JX19" s="24">
        <f t="shared" si="70"/>
        <v>0</v>
      </c>
      <c r="JY19" s="23"/>
      <c r="JZ19" s="2"/>
      <c r="KA19" s="2"/>
      <c r="KB19" s="24">
        <f t="shared" si="71"/>
        <v>0</v>
      </c>
      <c r="KC19" s="23"/>
      <c r="KD19" s="2"/>
      <c r="KE19" s="2"/>
      <c r="KF19" s="24">
        <f t="shared" si="72"/>
        <v>0</v>
      </c>
      <c r="KG19" s="23"/>
      <c r="KH19" s="2"/>
      <c r="KI19" s="2"/>
      <c r="KJ19" s="24">
        <f t="shared" si="73"/>
        <v>0</v>
      </c>
      <c r="KK19" s="23"/>
      <c r="KL19" s="2"/>
      <c r="KM19" s="2"/>
      <c r="KN19" s="24">
        <f t="shared" si="74"/>
        <v>0</v>
      </c>
      <c r="KO19" s="23"/>
      <c r="KP19" s="2"/>
      <c r="KQ19" s="2"/>
      <c r="KR19" s="24">
        <f t="shared" si="75"/>
        <v>0</v>
      </c>
      <c r="KS19" s="23"/>
      <c r="KT19" s="8">
        <f t="shared" si="76"/>
        <v>0</v>
      </c>
      <c r="KU19" s="2"/>
      <c r="KV19" s="2"/>
      <c r="KW19" s="24">
        <f t="shared" si="77"/>
        <v>0</v>
      </c>
      <c r="KX19" s="23"/>
      <c r="KY19" s="8">
        <f t="shared" si="78"/>
        <v>0</v>
      </c>
      <c r="KZ19" s="2"/>
      <c r="LA19" s="2"/>
      <c r="LB19" s="24">
        <f t="shared" si="79"/>
        <v>0</v>
      </c>
      <c r="LC19" s="23"/>
      <c r="LD19" s="2"/>
      <c r="LE19" s="2"/>
      <c r="LF19" s="24">
        <f t="shared" si="80"/>
        <v>0</v>
      </c>
      <c r="LG19" s="23"/>
      <c r="LH19" s="2"/>
      <c r="LI19" s="2"/>
      <c r="LJ19" s="24">
        <f t="shared" si="81"/>
        <v>0</v>
      </c>
      <c r="LK19" s="23"/>
      <c r="LL19" s="8">
        <f t="shared" si="82"/>
        <v>0</v>
      </c>
      <c r="LM19" s="2"/>
      <c r="LN19" s="2"/>
      <c r="LO19" s="24">
        <f t="shared" si="83"/>
        <v>0</v>
      </c>
      <c r="LP19" s="23"/>
      <c r="LQ19" s="2"/>
      <c r="LR19" s="2"/>
      <c r="LS19" s="24">
        <f t="shared" si="84"/>
        <v>0</v>
      </c>
      <c r="LT19" s="23"/>
      <c r="LU19" s="2"/>
      <c r="LV19" s="2"/>
      <c r="LW19" s="24">
        <f t="shared" si="85"/>
        <v>0</v>
      </c>
      <c r="LX19" s="23"/>
      <c r="LY19" s="8">
        <f t="shared" si="86"/>
        <v>0</v>
      </c>
      <c r="LZ19" s="2"/>
      <c r="MA19" s="2"/>
      <c r="MB19" s="24">
        <f t="shared" si="87"/>
        <v>0</v>
      </c>
      <c r="MC19" s="23"/>
      <c r="MD19" s="2"/>
      <c r="ME19" s="2"/>
      <c r="MF19" s="24">
        <f t="shared" si="88"/>
        <v>0</v>
      </c>
      <c r="MG19" s="23"/>
      <c r="MH19" s="2"/>
      <c r="MI19" s="2"/>
      <c r="MJ19" s="24">
        <f t="shared" si="89"/>
        <v>0</v>
      </c>
      <c r="MK19" s="23"/>
      <c r="ML19" s="8">
        <f t="shared" si="90"/>
        <v>0</v>
      </c>
      <c r="MM19" s="2"/>
      <c r="MN19" s="2"/>
      <c r="MO19" s="24">
        <f t="shared" si="91"/>
        <v>0</v>
      </c>
      <c r="MP19" s="23"/>
      <c r="MQ19" s="2"/>
      <c r="MR19" s="2"/>
      <c r="MS19" s="24">
        <f t="shared" si="92"/>
        <v>0</v>
      </c>
      <c r="MT19" s="23"/>
      <c r="MU19" s="2"/>
      <c r="MV19" s="2"/>
      <c r="MW19" s="24">
        <f t="shared" si="93"/>
        <v>0</v>
      </c>
      <c r="MX19" s="23"/>
      <c r="MY19" s="8">
        <f t="shared" si="94"/>
        <v>0</v>
      </c>
      <c r="MZ19" s="2"/>
      <c r="NA19" s="2"/>
      <c r="NB19" s="24">
        <f t="shared" si="95"/>
        <v>0</v>
      </c>
      <c r="NC19" s="23"/>
      <c r="ND19" s="2"/>
      <c r="NE19" s="2"/>
      <c r="NF19" s="24">
        <f t="shared" si="96"/>
        <v>0</v>
      </c>
      <c r="NG19" s="23"/>
      <c r="NH19" s="2"/>
      <c r="NI19" s="2"/>
      <c r="NJ19" s="24">
        <f t="shared" si="97"/>
        <v>0</v>
      </c>
      <c r="NK19" s="23"/>
      <c r="NL19" s="8">
        <f t="shared" si="98"/>
        <v>0</v>
      </c>
      <c r="NM19" s="2"/>
      <c r="NN19" s="2"/>
      <c r="NO19" s="24">
        <f t="shared" si="99"/>
        <v>0</v>
      </c>
      <c r="NP19" s="23"/>
      <c r="NQ19" s="2"/>
      <c r="NR19" s="2"/>
      <c r="NS19" s="24">
        <f t="shared" si="100"/>
        <v>0</v>
      </c>
      <c r="NT19" s="23"/>
      <c r="NU19" s="8">
        <f t="shared" si="101"/>
        <v>0</v>
      </c>
      <c r="NV19" s="2"/>
      <c r="NW19" s="2"/>
      <c r="NX19" s="24">
        <f t="shared" si="102"/>
        <v>0</v>
      </c>
      <c r="NY19" s="23"/>
      <c r="NZ19" s="2"/>
      <c r="OA19" s="2"/>
      <c r="OB19" s="24">
        <f t="shared" si="103"/>
        <v>0</v>
      </c>
      <c r="OC19" s="23"/>
      <c r="OD19" s="8">
        <f t="shared" si="104"/>
        <v>0</v>
      </c>
      <c r="OE19" s="2"/>
      <c r="OF19" s="2"/>
      <c r="OG19" s="24">
        <f t="shared" si="105"/>
        <v>0</v>
      </c>
      <c r="OH19" s="23"/>
      <c r="OI19" s="2"/>
      <c r="OJ19" s="2"/>
      <c r="OK19" s="24">
        <f t="shared" si="106"/>
        <v>0</v>
      </c>
      <c r="OL19" s="23"/>
      <c r="OM19" s="8">
        <f t="shared" si="107"/>
        <v>0</v>
      </c>
      <c r="ON19" s="2"/>
      <c r="OO19" s="2"/>
      <c r="OP19" s="24">
        <f t="shared" si="108"/>
        <v>0</v>
      </c>
      <c r="OQ19" s="23"/>
      <c r="OR19" s="2"/>
      <c r="OS19" s="2"/>
      <c r="OT19" s="24">
        <f t="shared" si="109"/>
        <v>0</v>
      </c>
      <c r="OU19" s="23"/>
      <c r="OV19" s="8">
        <f t="shared" si="110"/>
        <v>0</v>
      </c>
      <c r="OW19" s="2"/>
      <c r="OX19" s="2"/>
      <c r="OY19" s="24">
        <f t="shared" si="111"/>
        <v>0</v>
      </c>
      <c r="OZ19" s="23"/>
      <c r="PA19" s="8">
        <f t="shared" si="112"/>
        <v>0</v>
      </c>
      <c r="PB19" s="2"/>
      <c r="PC19" s="2"/>
      <c r="PD19" s="24">
        <f t="shared" si="113"/>
        <v>0</v>
      </c>
      <c r="PE19" s="23"/>
      <c r="PF19" s="8">
        <f t="shared" si="114"/>
        <v>0</v>
      </c>
      <c r="PG19" s="2"/>
      <c r="PH19" s="2"/>
      <c r="PI19" s="24">
        <f t="shared" si="115"/>
        <v>0</v>
      </c>
      <c r="PJ19" s="23"/>
      <c r="PK19" s="2"/>
      <c r="PL19" s="2"/>
      <c r="PM19" s="24">
        <f t="shared" si="116"/>
        <v>0</v>
      </c>
      <c r="PN19" s="23"/>
      <c r="PO19" s="8">
        <f t="shared" si="117"/>
        <v>0</v>
      </c>
      <c r="PP19" s="2"/>
      <c r="PQ19" s="2"/>
      <c r="PR19" s="24">
        <f t="shared" si="118"/>
        <v>0</v>
      </c>
      <c r="PS19" s="23"/>
      <c r="PT19" s="8">
        <f t="shared" si="119"/>
        <v>0</v>
      </c>
      <c r="PU19" s="2"/>
      <c r="PV19" s="2"/>
      <c r="PW19" s="24">
        <f t="shared" si="120"/>
        <v>0</v>
      </c>
      <c r="PX19" s="23"/>
      <c r="PY19" s="8">
        <f t="shared" si="121"/>
        <v>0</v>
      </c>
      <c r="PZ19" s="2"/>
      <c r="QA19" s="2"/>
      <c r="QB19" s="24">
        <f t="shared" si="122"/>
        <v>0</v>
      </c>
      <c r="QC19" s="23"/>
      <c r="QD19" s="8">
        <f t="shared" si="123"/>
        <v>0</v>
      </c>
      <c r="QE19" s="2"/>
      <c r="QF19" s="2"/>
      <c r="QG19" s="24">
        <f t="shared" si="124"/>
        <v>0</v>
      </c>
      <c r="QH19" s="23"/>
      <c r="QI19" s="8">
        <f t="shared" si="125"/>
        <v>0</v>
      </c>
    </row>
    <row r="20" spans="1:451" ht="14.25" customHeight="1" x14ac:dyDescent="0.3">
      <c r="A20" s="5" t="s">
        <v>19</v>
      </c>
      <c r="B20" s="2">
        <v>2</v>
      </c>
      <c r="C20" s="2">
        <v>0</v>
      </c>
      <c r="D20" s="24">
        <f t="shared" si="0"/>
        <v>5</v>
      </c>
      <c r="E20" s="23"/>
      <c r="F20" s="2">
        <v>1</v>
      </c>
      <c r="G20" s="2">
        <v>1</v>
      </c>
      <c r="H20" s="24">
        <f t="shared" si="1"/>
        <v>1</v>
      </c>
      <c r="I20" s="23"/>
      <c r="J20" s="8">
        <f t="shared" si="2"/>
        <v>6</v>
      </c>
      <c r="K20" s="2">
        <v>2</v>
      </c>
      <c r="L20" s="2">
        <v>1</v>
      </c>
      <c r="M20" s="24">
        <f t="shared" si="3"/>
        <v>1</v>
      </c>
      <c r="N20" s="23"/>
      <c r="O20" s="2">
        <v>2</v>
      </c>
      <c r="P20" s="2">
        <v>0</v>
      </c>
      <c r="Q20" s="24">
        <f t="shared" si="4"/>
        <v>3</v>
      </c>
      <c r="R20" s="23"/>
      <c r="S20" s="8">
        <f t="shared" si="5"/>
        <v>4</v>
      </c>
      <c r="T20" s="2">
        <v>0</v>
      </c>
      <c r="U20" s="2">
        <v>2</v>
      </c>
      <c r="V20" s="24">
        <f t="shared" si="6"/>
        <v>0</v>
      </c>
      <c r="W20" s="23"/>
      <c r="X20" s="2">
        <v>2</v>
      </c>
      <c r="Y20" s="2">
        <v>1</v>
      </c>
      <c r="Z20" s="24">
        <f t="shared" si="7"/>
        <v>1</v>
      </c>
      <c r="AA20" s="23"/>
      <c r="AB20" s="2">
        <v>1</v>
      </c>
      <c r="AC20" s="2">
        <v>3</v>
      </c>
      <c r="AD20" s="24">
        <f t="shared" si="8"/>
        <v>3</v>
      </c>
      <c r="AE20" s="23"/>
      <c r="AF20" s="2">
        <v>1</v>
      </c>
      <c r="AG20" s="2">
        <v>2</v>
      </c>
      <c r="AH20" s="24">
        <f t="shared" si="9"/>
        <v>0</v>
      </c>
      <c r="AI20" s="23"/>
      <c r="AJ20" s="8">
        <f t="shared" si="10"/>
        <v>4</v>
      </c>
      <c r="AK20" s="2">
        <v>4</v>
      </c>
      <c r="AL20" s="2">
        <v>0</v>
      </c>
      <c r="AM20" s="24">
        <f t="shared" si="11"/>
        <v>3</v>
      </c>
      <c r="AN20" s="23"/>
      <c r="AO20" s="2">
        <v>2</v>
      </c>
      <c r="AP20" s="2">
        <v>1</v>
      </c>
      <c r="AQ20" s="24">
        <f t="shared" si="12"/>
        <v>1</v>
      </c>
      <c r="AR20" s="23"/>
      <c r="AS20" s="2">
        <v>1</v>
      </c>
      <c r="AT20" s="2">
        <v>1</v>
      </c>
      <c r="AU20" s="24">
        <f t="shared" si="13"/>
        <v>1</v>
      </c>
      <c r="AV20" s="23"/>
      <c r="AW20" s="2">
        <v>2</v>
      </c>
      <c r="AX20" s="2">
        <v>0</v>
      </c>
      <c r="AY20" s="24">
        <f t="shared" si="14"/>
        <v>3</v>
      </c>
      <c r="AZ20" s="23"/>
      <c r="BA20" s="8">
        <f t="shared" si="15"/>
        <v>8</v>
      </c>
      <c r="BB20" s="2">
        <v>5</v>
      </c>
      <c r="BC20" s="2">
        <v>0</v>
      </c>
      <c r="BD20" s="24">
        <f t="shared" si="16"/>
        <v>1</v>
      </c>
      <c r="BE20" s="23"/>
      <c r="BF20" s="2">
        <v>3</v>
      </c>
      <c r="BG20" s="2">
        <v>1</v>
      </c>
      <c r="BH20" s="24">
        <f t="shared" si="17"/>
        <v>1</v>
      </c>
      <c r="BI20" s="23"/>
      <c r="BJ20" s="2">
        <v>1</v>
      </c>
      <c r="BK20" s="2">
        <v>2</v>
      </c>
      <c r="BL20" s="24">
        <f t="shared" si="18"/>
        <v>1</v>
      </c>
      <c r="BM20" s="23"/>
      <c r="BN20" s="2">
        <v>1</v>
      </c>
      <c r="BO20" s="2">
        <v>1</v>
      </c>
      <c r="BP20" s="24">
        <f t="shared" si="19"/>
        <v>3</v>
      </c>
      <c r="BQ20" s="23"/>
      <c r="BR20" s="8">
        <f t="shared" si="20"/>
        <v>6</v>
      </c>
      <c r="BS20" s="2">
        <v>3</v>
      </c>
      <c r="BT20" s="2">
        <v>1</v>
      </c>
      <c r="BU20" s="24">
        <f t="shared" si="21"/>
        <v>5</v>
      </c>
      <c r="BV20" s="23"/>
      <c r="BW20" s="2">
        <v>0</v>
      </c>
      <c r="BX20" s="2">
        <v>3</v>
      </c>
      <c r="BY20" s="24">
        <f t="shared" si="22"/>
        <v>3</v>
      </c>
      <c r="BZ20" s="23"/>
      <c r="CA20" s="2">
        <v>3</v>
      </c>
      <c r="CB20" s="2">
        <v>0</v>
      </c>
      <c r="CC20" s="24">
        <f t="shared" si="23"/>
        <v>5</v>
      </c>
      <c r="CD20" s="23"/>
      <c r="CE20" s="2">
        <v>3</v>
      </c>
      <c r="CF20" s="2">
        <v>0</v>
      </c>
      <c r="CG20" s="24">
        <f t="shared" si="24"/>
        <v>4</v>
      </c>
      <c r="CH20" s="23"/>
      <c r="CI20" s="8">
        <f t="shared" si="25"/>
        <v>17</v>
      </c>
      <c r="CJ20" s="2">
        <v>3</v>
      </c>
      <c r="CK20" s="2">
        <v>0</v>
      </c>
      <c r="CL20" s="24">
        <f t="shared" si="26"/>
        <v>0</v>
      </c>
      <c r="CM20" s="23"/>
      <c r="CN20" s="2">
        <v>1</v>
      </c>
      <c r="CO20" s="2">
        <v>1</v>
      </c>
      <c r="CP20" s="24">
        <f t="shared" si="27"/>
        <v>0</v>
      </c>
      <c r="CQ20" s="23"/>
      <c r="CR20" s="2">
        <v>2</v>
      </c>
      <c r="CS20" s="2">
        <v>1</v>
      </c>
      <c r="CT20" s="24">
        <f t="shared" si="28"/>
        <v>3</v>
      </c>
      <c r="CU20" s="23"/>
      <c r="CV20" s="2">
        <v>0</v>
      </c>
      <c r="CW20" s="2">
        <v>3</v>
      </c>
      <c r="CX20" s="24">
        <f t="shared" si="29"/>
        <v>4</v>
      </c>
      <c r="CY20" s="23"/>
      <c r="CZ20" s="8">
        <f t="shared" si="30"/>
        <v>7</v>
      </c>
      <c r="DA20" s="2">
        <v>2</v>
      </c>
      <c r="DB20" s="2">
        <v>0</v>
      </c>
      <c r="DC20" s="24">
        <f t="shared" si="126"/>
        <v>0</v>
      </c>
      <c r="DD20" s="23"/>
      <c r="DE20" s="2">
        <v>3</v>
      </c>
      <c r="DF20" s="2">
        <v>1</v>
      </c>
      <c r="DG20" s="24">
        <f t="shared" si="127"/>
        <v>4</v>
      </c>
      <c r="DH20" s="23"/>
      <c r="DI20" s="2">
        <v>2</v>
      </c>
      <c r="DJ20" s="2">
        <v>1</v>
      </c>
      <c r="DK20" s="24">
        <f t="shared" si="128"/>
        <v>3</v>
      </c>
      <c r="DL20" s="23"/>
      <c r="DM20" s="2">
        <v>1</v>
      </c>
      <c r="DN20" s="2">
        <v>2</v>
      </c>
      <c r="DO20" s="24">
        <f t="shared" si="129"/>
        <v>1</v>
      </c>
      <c r="DP20" s="23"/>
      <c r="DQ20" s="8">
        <f t="shared" si="31"/>
        <v>8</v>
      </c>
      <c r="DR20" s="2">
        <v>3</v>
      </c>
      <c r="DS20" s="2">
        <v>0</v>
      </c>
      <c r="DT20" s="24">
        <f t="shared" si="130"/>
        <v>4</v>
      </c>
      <c r="DU20" s="23"/>
      <c r="DV20" s="2">
        <v>2</v>
      </c>
      <c r="DW20" s="2">
        <v>3</v>
      </c>
      <c r="DX20" s="24">
        <f t="shared" si="131"/>
        <v>3</v>
      </c>
      <c r="DY20" s="23"/>
      <c r="DZ20" s="2">
        <v>3</v>
      </c>
      <c r="EA20" s="2">
        <v>0</v>
      </c>
      <c r="EB20" s="24">
        <f t="shared" si="132"/>
        <v>5</v>
      </c>
      <c r="EC20" s="23"/>
      <c r="ED20" s="2">
        <v>1</v>
      </c>
      <c r="EE20" s="2">
        <v>2</v>
      </c>
      <c r="EF20" s="24">
        <f t="shared" si="133"/>
        <v>3</v>
      </c>
      <c r="EG20" s="23"/>
      <c r="EH20" s="8">
        <f t="shared" si="32"/>
        <v>15</v>
      </c>
      <c r="EI20" s="2">
        <v>2</v>
      </c>
      <c r="EJ20" s="2">
        <v>1</v>
      </c>
      <c r="EK20" s="24">
        <f t="shared" si="33"/>
        <v>4</v>
      </c>
      <c r="EL20" s="23"/>
      <c r="EM20" s="2">
        <v>2</v>
      </c>
      <c r="EN20" s="2">
        <v>0</v>
      </c>
      <c r="EO20" s="24">
        <f t="shared" si="34"/>
        <v>4</v>
      </c>
      <c r="EP20" s="23"/>
      <c r="EQ20" s="2">
        <v>4</v>
      </c>
      <c r="ER20" s="2">
        <v>0</v>
      </c>
      <c r="ES20" s="24">
        <f t="shared" si="35"/>
        <v>1</v>
      </c>
      <c r="ET20" s="23"/>
      <c r="EU20" s="2">
        <v>0</v>
      </c>
      <c r="EV20" s="2">
        <v>3</v>
      </c>
      <c r="EW20" s="24">
        <f t="shared" si="36"/>
        <v>4</v>
      </c>
      <c r="EX20" s="23"/>
      <c r="EY20" s="8">
        <f t="shared" si="37"/>
        <v>13</v>
      </c>
      <c r="EZ20" s="2">
        <v>2</v>
      </c>
      <c r="FA20" s="2">
        <v>0</v>
      </c>
      <c r="FB20" s="24"/>
      <c r="FC20" s="23"/>
      <c r="FD20" s="2">
        <v>2</v>
      </c>
      <c r="FE20" s="2">
        <v>0</v>
      </c>
      <c r="FF20" s="24"/>
      <c r="FG20" s="23"/>
      <c r="FH20" s="2">
        <v>3</v>
      </c>
      <c r="FI20" s="2">
        <v>0</v>
      </c>
      <c r="FJ20" s="24"/>
      <c r="FK20" s="23"/>
      <c r="FL20" s="2">
        <v>1</v>
      </c>
      <c r="FM20" s="2">
        <v>2</v>
      </c>
      <c r="FN20" s="24"/>
      <c r="FO20" s="23"/>
      <c r="FP20" s="8">
        <f t="shared" si="38"/>
        <v>0</v>
      </c>
      <c r="FQ20" s="2"/>
      <c r="FR20" s="2"/>
      <c r="FS20" s="24">
        <f t="shared" si="39"/>
        <v>0</v>
      </c>
      <c r="FT20" s="23"/>
      <c r="FU20" s="2"/>
      <c r="FV20" s="2"/>
      <c r="FW20" s="24">
        <f t="shared" si="40"/>
        <v>0</v>
      </c>
      <c r="FX20" s="23"/>
      <c r="FY20" s="2"/>
      <c r="FZ20" s="2"/>
      <c r="GA20" s="24">
        <f t="shared" si="41"/>
        <v>0</v>
      </c>
      <c r="GB20" s="23"/>
      <c r="GC20" s="2"/>
      <c r="GD20" s="2"/>
      <c r="GE20" s="24">
        <f t="shared" si="42"/>
        <v>0</v>
      </c>
      <c r="GF20" s="23"/>
      <c r="GG20" s="8">
        <f t="shared" si="43"/>
        <v>0</v>
      </c>
      <c r="GH20" s="2"/>
      <c r="GI20" s="2"/>
      <c r="GJ20" s="24">
        <f t="shared" si="44"/>
        <v>0</v>
      </c>
      <c r="GK20" s="23"/>
      <c r="GL20" s="2"/>
      <c r="GM20" s="2"/>
      <c r="GN20" s="24">
        <f t="shared" si="45"/>
        <v>0</v>
      </c>
      <c r="GO20" s="23"/>
      <c r="GP20" s="2"/>
      <c r="GQ20" s="2"/>
      <c r="GR20" s="24">
        <f t="shared" si="46"/>
        <v>0</v>
      </c>
      <c r="GS20" s="23"/>
      <c r="GT20" s="2"/>
      <c r="GU20" s="2"/>
      <c r="GV20" s="24">
        <f t="shared" si="47"/>
        <v>0</v>
      </c>
      <c r="GW20" s="23"/>
      <c r="GX20" s="8">
        <f t="shared" si="48"/>
        <v>0</v>
      </c>
      <c r="GY20" s="2"/>
      <c r="GZ20" s="2"/>
      <c r="HA20" s="24">
        <f t="shared" si="49"/>
        <v>0</v>
      </c>
      <c r="HB20" s="23"/>
      <c r="HC20" s="2"/>
      <c r="HD20" s="2"/>
      <c r="HE20" s="24">
        <f t="shared" si="50"/>
        <v>0</v>
      </c>
      <c r="HF20" s="23"/>
      <c r="HG20" s="2"/>
      <c r="HH20" s="2"/>
      <c r="HI20" s="24">
        <f t="shared" si="51"/>
        <v>0</v>
      </c>
      <c r="HJ20" s="23"/>
      <c r="HK20" s="2"/>
      <c r="HL20" s="2"/>
      <c r="HM20" s="24">
        <f t="shared" si="52"/>
        <v>0</v>
      </c>
      <c r="HN20" s="23"/>
      <c r="HO20" s="2"/>
      <c r="HP20" s="2"/>
      <c r="HQ20" s="24">
        <f t="shared" si="53"/>
        <v>0</v>
      </c>
      <c r="HR20" s="23"/>
      <c r="HS20" s="2"/>
      <c r="HT20" s="2"/>
      <c r="HU20" s="24">
        <f t="shared" si="54"/>
        <v>0</v>
      </c>
      <c r="HV20" s="23"/>
      <c r="HW20" s="8">
        <f t="shared" si="55"/>
        <v>0</v>
      </c>
      <c r="HX20" s="2"/>
      <c r="HY20" s="2"/>
      <c r="HZ20" s="24">
        <f t="shared" si="56"/>
        <v>0</v>
      </c>
      <c r="IA20" s="23"/>
      <c r="IB20" s="2"/>
      <c r="IC20" s="2"/>
      <c r="ID20" s="24">
        <f t="shared" si="57"/>
        <v>0</v>
      </c>
      <c r="IE20" s="23"/>
      <c r="IF20" s="2"/>
      <c r="IG20" s="2"/>
      <c r="IH20" s="24">
        <f t="shared" si="58"/>
        <v>0</v>
      </c>
      <c r="II20" s="23"/>
      <c r="IJ20" s="2"/>
      <c r="IK20" s="2"/>
      <c r="IL20" s="24">
        <f t="shared" si="59"/>
        <v>0</v>
      </c>
      <c r="IM20" s="23"/>
      <c r="IN20" s="2"/>
      <c r="IO20" s="2"/>
      <c r="IP20" s="24">
        <f t="shared" si="60"/>
        <v>0</v>
      </c>
      <c r="IQ20" s="23"/>
      <c r="IR20" s="2"/>
      <c r="IS20" s="2"/>
      <c r="IT20" s="24">
        <f t="shared" si="61"/>
        <v>0</v>
      </c>
      <c r="IU20" s="23"/>
      <c r="IV20" s="8">
        <f t="shared" si="62"/>
        <v>0</v>
      </c>
      <c r="IW20" s="2"/>
      <c r="IX20" s="2"/>
      <c r="IY20" s="24">
        <f t="shared" si="63"/>
        <v>0</v>
      </c>
      <c r="IZ20" s="23"/>
      <c r="JA20" s="2"/>
      <c r="JB20" s="2"/>
      <c r="JC20" s="24">
        <f t="shared" si="64"/>
        <v>0</v>
      </c>
      <c r="JD20" s="23"/>
      <c r="JE20" s="2"/>
      <c r="JF20" s="2"/>
      <c r="JG20" s="24">
        <f t="shared" si="65"/>
        <v>0</v>
      </c>
      <c r="JH20" s="23"/>
      <c r="JI20" s="2"/>
      <c r="JJ20" s="2"/>
      <c r="JK20" s="24">
        <f t="shared" si="66"/>
        <v>0</v>
      </c>
      <c r="JL20" s="23"/>
      <c r="JM20" s="2"/>
      <c r="JN20" s="2"/>
      <c r="JO20" s="24">
        <f t="shared" si="67"/>
        <v>0</v>
      </c>
      <c r="JP20" s="23"/>
      <c r="JQ20" s="2"/>
      <c r="JR20" s="2"/>
      <c r="JS20" s="24">
        <f t="shared" si="68"/>
        <v>0</v>
      </c>
      <c r="JT20" s="23"/>
      <c r="JU20" s="8">
        <f t="shared" si="69"/>
        <v>0</v>
      </c>
      <c r="JV20" s="2"/>
      <c r="JW20" s="2"/>
      <c r="JX20" s="24">
        <f t="shared" si="70"/>
        <v>0</v>
      </c>
      <c r="JY20" s="23"/>
      <c r="JZ20" s="2"/>
      <c r="KA20" s="2"/>
      <c r="KB20" s="24">
        <f t="shared" si="71"/>
        <v>0</v>
      </c>
      <c r="KC20" s="23"/>
      <c r="KD20" s="2"/>
      <c r="KE20" s="2"/>
      <c r="KF20" s="24">
        <f t="shared" si="72"/>
        <v>0</v>
      </c>
      <c r="KG20" s="23"/>
      <c r="KH20" s="2"/>
      <c r="KI20" s="2"/>
      <c r="KJ20" s="24">
        <f t="shared" si="73"/>
        <v>0</v>
      </c>
      <c r="KK20" s="23"/>
      <c r="KL20" s="2"/>
      <c r="KM20" s="2"/>
      <c r="KN20" s="24">
        <f t="shared" si="74"/>
        <v>0</v>
      </c>
      <c r="KO20" s="23"/>
      <c r="KP20" s="2"/>
      <c r="KQ20" s="2"/>
      <c r="KR20" s="24">
        <f t="shared" si="75"/>
        <v>0</v>
      </c>
      <c r="KS20" s="23"/>
      <c r="KT20" s="8">
        <f t="shared" si="76"/>
        <v>0</v>
      </c>
      <c r="KU20" s="2"/>
      <c r="KV20" s="2"/>
      <c r="KW20" s="24">
        <f t="shared" si="77"/>
        <v>0</v>
      </c>
      <c r="KX20" s="23"/>
      <c r="KY20" s="8">
        <f t="shared" si="78"/>
        <v>0</v>
      </c>
      <c r="KZ20" s="2"/>
      <c r="LA20" s="2"/>
      <c r="LB20" s="24">
        <f t="shared" si="79"/>
        <v>0</v>
      </c>
      <c r="LC20" s="23"/>
      <c r="LD20" s="2"/>
      <c r="LE20" s="2"/>
      <c r="LF20" s="24">
        <f t="shared" si="80"/>
        <v>0</v>
      </c>
      <c r="LG20" s="23"/>
      <c r="LH20" s="2"/>
      <c r="LI20" s="2"/>
      <c r="LJ20" s="24">
        <f t="shared" si="81"/>
        <v>0</v>
      </c>
      <c r="LK20" s="23"/>
      <c r="LL20" s="8">
        <f t="shared" si="82"/>
        <v>0</v>
      </c>
      <c r="LM20" s="2"/>
      <c r="LN20" s="2"/>
      <c r="LO20" s="24">
        <f t="shared" si="83"/>
        <v>0</v>
      </c>
      <c r="LP20" s="23"/>
      <c r="LQ20" s="2"/>
      <c r="LR20" s="2"/>
      <c r="LS20" s="24">
        <f t="shared" si="84"/>
        <v>0</v>
      </c>
      <c r="LT20" s="23"/>
      <c r="LU20" s="2"/>
      <c r="LV20" s="2"/>
      <c r="LW20" s="24">
        <f t="shared" si="85"/>
        <v>0</v>
      </c>
      <c r="LX20" s="23"/>
      <c r="LY20" s="8">
        <f t="shared" si="86"/>
        <v>0</v>
      </c>
      <c r="LZ20" s="2"/>
      <c r="MA20" s="2"/>
      <c r="MB20" s="24">
        <f t="shared" si="87"/>
        <v>0</v>
      </c>
      <c r="MC20" s="23"/>
      <c r="MD20" s="2"/>
      <c r="ME20" s="2"/>
      <c r="MF20" s="24">
        <f t="shared" si="88"/>
        <v>0</v>
      </c>
      <c r="MG20" s="23"/>
      <c r="MH20" s="2"/>
      <c r="MI20" s="2"/>
      <c r="MJ20" s="24">
        <f t="shared" si="89"/>
        <v>0</v>
      </c>
      <c r="MK20" s="23"/>
      <c r="ML20" s="8">
        <f t="shared" si="90"/>
        <v>0</v>
      </c>
      <c r="MM20" s="2"/>
      <c r="MN20" s="2"/>
      <c r="MO20" s="24">
        <f t="shared" si="91"/>
        <v>0</v>
      </c>
      <c r="MP20" s="23"/>
      <c r="MQ20" s="2"/>
      <c r="MR20" s="2"/>
      <c r="MS20" s="24">
        <f t="shared" si="92"/>
        <v>0</v>
      </c>
      <c r="MT20" s="23"/>
      <c r="MU20" s="2"/>
      <c r="MV20" s="2"/>
      <c r="MW20" s="24">
        <f t="shared" si="93"/>
        <v>0</v>
      </c>
      <c r="MX20" s="23"/>
      <c r="MY20" s="8">
        <f t="shared" si="94"/>
        <v>0</v>
      </c>
      <c r="MZ20" s="2"/>
      <c r="NA20" s="2"/>
      <c r="NB20" s="24">
        <f t="shared" si="95"/>
        <v>0</v>
      </c>
      <c r="NC20" s="23"/>
      <c r="ND20" s="2"/>
      <c r="NE20" s="2"/>
      <c r="NF20" s="24">
        <f t="shared" si="96"/>
        <v>0</v>
      </c>
      <c r="NG20" s="23"/>
      <c r="NH20" s="2"/>
      <c r="NI20" s="2"/>
      <c r="NJ20" s="24">
        <f t="shared" si="97"/>
        <v>0</v>
      </c>
      <c r="NK20" s="23"/>
      <c r="NL20" s="8">
        <f t="shared" si="98"/>
        <v>0</v>
      </c>
      <c r="NM20" s="2"/>
      <c r="NN20" s="2"/>
      <c r="NO20" s="24">
        <f t="shared" si="99"/>
        <v>0</v>
      </c>
      <c r="NP20" s="23"/>
      <c r="NQ20" s="2"/>
      <c r="NR20" s="2"/>
      <c r="NS20" s="24">
        <f t="shared" si="100"/>
        <v>0</v>
      </c>
      <c r="NT20" s="23"/>
      <c r="NU20" s="8">
        <f t="shared" si="101"/>
        <v>0</v>
      </c>
      <c r="NV20" s="2"/>
      <c r="NW20" s="2"/>
      <c r="NX20" s="24">
        <f t="shared" si="102"/>
        <v>0</v>
      </c>
      <c r="NY20" s="23"/>
      <c r="NZ20" s="2"/>
      <c r="OA20" s="2"/>
      <c r="OB20" s="24">
        <f t="shared" si="103"/>
        <v>0</v>
      </c>
      <c r="OC20" s="23"/>
      <c r="OD20" s="8">
        <f t="shared" si="104"/>
        <v>0</v>
      </c>
      <c r="OE20" s="2"/>
      <c r="OF20" s="2"/>
      <c r="OG20" s="24">
        <f t="shared" si="105"/>
        <v>0</v>
      </c>
      <c r="OH20" s="23"/>
      <c r="OI20" s="2"/>
      <c r="OJ20" s="2"/>
      <c r="OK20" s="24">
        <f t="shared" si="106"/>
        <v>0</v>
      </c>
      <c r="OL20" s="23"/>
      <c r="OM20" s="8">
        <f t="shared" si="107"/>
        <v>0</v>
      </c>
      <c r="ON20" s="2"/>
      <c r="OO20" s="2"/>
      <c r="OP20" s="24">
        <f t="shared" si="108"/>
        <v>0</v>
      </c>
      <c r="OQ20" s="23"/>
      <c r="OR20" s="2"/>
      <c r="OS20" s="2"/>
      <c r="OT20" s="24">
        <f t="shared" si="109"/>
        <v>0</v>
      </c>
      <c r="OU20" s="23"/>
      <c r="OV20" s="8">
        <f t="shared" si="110"/>
        <v>0</v>
      </c>
      <c r="OW20" s="2"/>
      <c r="OX20" s="2"/>
      <c r="OY20" s="24">
        <f t="shared" si="111"/>
        <v>0</v>
      </c>
      <c r="OZ20" s="23"/>
      <c r="PA20" s="8">
        <f t="shared" si="112"/>
        <v>0</v>
      </c>
      <c r="PB20" s="2"/>
      <c r="PC20" s="2"/>
      <c r="PD20" s="24">
        <f t="shared" si="113"/>
        <v>0</v>
      </c>
      <c r="PE20" s="23"/>
      <c r="PF20" s="8">
        <f t="shared" si="114"/>
        <v>0</v>
      </c>
      <c r="PG20" s="2"/>
      <c r="PH20" s="2"/>
      <c r="PI20" s="24">
        <f t="shared" si="115"/>
        <v>0</v>
      </c>
      <c r="PJ20" s="23"/>
      <c r="PK20" s="2"/>
      <c r="PL20" s="2"/>
      <c r="PM20" s="24">
        <f t="shared" si="116"/>
        <v>0</v>
      </c>
      <c r="PN20" s="23"/>
      <c r="PO20" s="8">
        <f t="shared" si="117"/>
        <v>0</v>
      </c>
      <c r="PP20" s="2"/>
      <c r="PQ20" s="2"/>
      <c r="PR20" s="24">
        <f t="shared" si="118"/>
        <v>0</v>
      </c>
      <c r="PS20" s="23"/>
      <c r="PT20" s="8">
        <f t="shared" si="119"/>
        <v>0</v>
      </c>
      <c r="PU20" s="2"/>
      <c r="PV20" s="2"/>
      <c r="PW20" s="24">
        <f t="shared" si="120"/>
        <v>0</v>
      </c>
      <c r="PX20" s="23"/>
      <c r="PY20" s="8">
        <f t="shared" si="121"/>
        <v>0</v>
      </c>
      <c r="PZ20" s="2"/>
      <c r="QA20" s="2"/>
      <c r="QB20" s="24">
        <f t="shared" si="122"/>
        <v>0</v>
      </c>
      <c r="QC20" s="23"/>
      <c r="QD20" s="8">
        <f t="shared" si="123"/>
        <v>0</v>
      </c>
      <c r="QE20" s="2"/>
      <c r="QF20" s="2"/>
      <c r="QG20" s="24">
        <f t="shared" si="124"/>
        <v>0</v>
      </c>
      <c r="QH20" s="23"/>
      <c r="QI20" s="8">
        <f t="shared" si="125"/>
        <v>0</v>
      </c>
    </row>
    <row r="21" spans="1:451" ht="14.25" customHeight="1" x14ac:dyDescent="0.3">
      <c r="A21" s="5" t="s">
        <v>20</v>
      </c>
      <c r="B21" s="2">
        <v>3</v>
      </c>
      <c r="C21" s="2">
        <v>0</v>
      </c>
      <c r="D21" s="24">
        <f t="shared" si="0"/>
        <v>4</v>
      </c>
      <c r="E21" s="23"/>
      <c r="F21" s="2">
        <v>0</v>
      </c>
      <c r="G21" s="2">
        <v>2</v>
      </c>
      <c r="H21" s="24">
        <f t="shared" si="1"/>
        <v>0</v>
      </c>
      <c r="I21" s="23"/>
      <c r="J21" s="8">
        <f t="shared" si="2"/>
        <v>4</v>
      </c>
      <c r="K21" s="2">
        <v>1</v>
      </c>
      <c r="L21" s="2">
        <v>1</v>
      </c>
      <c r="M21" s="24">
        <f t="shared" si="3"/>
        <v>5</v>
      </c>
      <c r="N21" s="23"/>
      <c r="O21" s="2">
        <v>2</v>
      </c>
      <c r="P21" s="2">
        <v>0</v>
      </c>
      <c r="Q21" s="24">
        <f t="shared" si="4"/>
        <v>3</v>
      </c>
      <c r="R21" s="23"/>
      <c r="S21" s="8">
        <f t="shared" si="5"/>
        <v>8</v>
      </c>
      <c r="T21" s="2">
        <v>1</v>
      </c>
      <c r="U21" s="2">
        <v>5</v>
      </c>
      <c r="V21" s="24">
        <f t="shared" si="6"/>
        <v>1</v>
      </c>
      <c r="W21" s="23"/>
      <c r="X21" s="2">
        <v>3</v>
      </c>
      <c r="Y21" s="2">
        <v>2</v>
      </c>
      <c r="Z21" s="24">
        <f t="shared" si="7"/>
        <v>0</v>
      </c>
      <c r="AA21" s="23"/>
      <c r="AB21" s="2">
        <v>0</v>
      </c>
      <c r="AC21" s="2">
        <v>6</v>
      </c>
      <c r="AD21" s="24">
        <f t="shared" si="8"/>
        <v>4</v>
      </c>
      <c r="AE21" s="23"/>
      <c r="AF21" s="2">
        <v>0</v>
      </c>
      <c r="AG21" s="2">
        <v>2</v>
      </c>
      <c r="AH21" s="24">
        <f t="shared" si="9"/>
        <v>0</v>
      </c>
      <c r="AI21" s="23"/>
      <c r="AJ21" s="8">
        <f t="shared" si="10"/>
        <v>5</v>
      </c>
      <c r="AK21" s="2">
        <v>8</v>
      </c>
      <c r="AL21" s="2">
        <v>0</v>
      </c>
      <c r="AM21" s="24">
        <f t="shared" si="11"/>
        <v>3</v>
      </c>
      <c r="AN21" s="23"/>
      <c r="AO21" s="2">
        <v>3</v>
      </c>
      <c r="AP21" s="2">
        <v>1</v>
      </c>
      <c r="AQ21" s="24">
        <f t="shared" si="12"/>
        <v>0</v>
      </c>
      <c r="AR21" s="23"/>
      <c r="AS21" s="2">
        <v>1</v>
      </c>
      <c r="AT21" s="2">
        <v>1</v>
      </c>
      <c r="AU21" s="24">
        <f t="shared" si="13"/>
        <v>1</v>
      </c>
      <c r="AV21" s="23"/>
      <c r="AW21" s="2">
        <v>2</v>
      </c>
      <c r="AX21" s="2">
        <v>0</v>
      </c>
      <c r="AY21" s="24">
        <f t="shared" si="14"/>
        <v>3</v>
      </c>
      <c r="AZ21" s="23"/>
      <c r="BA21" s="8">
        <f t="shared" si="15"/>
        <v>7</v>
      </c>
      <c r="BB21" s="2">
        <v>6</v>
      </c>
      <c r="BC21" s="2">
        <v>1</v>
      </c>
      <c r="BD21" s="24">
        <f t="shared" si="16"/>
        <v>0</v>
      </c>
      <c r="BE21" s="23"/>
      <c r="BF21" s="2">
        <v>3</v>
      </c>
      <c r="BG21" s="2">
        <v>0</v>
      </c>
      <c r="BH21" s="24">
        <f t="shared" si="17"/>
        <v>0</v>
      </c>
      <c r="BI21" s="23"/>
      <c r="BJ21" s="2">
        <v>1</v>
      </c>
      <c r="BK21" s="2">
        <v>2</v>
      </c>
      <c r="BL21" s="24">
        <f t="shared" si="18"/>
        <v>1</v>
      </c>
      <c r="BM21" s="23"/>
      <c r="BN21" s="2">
        <v>1</v>
      </c>
      <c r="BO21" s="2">
        <v>1</v>
      </c>
      <c r="BP21" s="24">
        <f t="shared" si="19"/>
        <v>3</v>
      </c>
      <c r="BQ21" s="23"/>
      <c r="BR21" s="8">
        <f t="shared" si="20"/>
        <v>4</v>
      </c>
      <c r="BS21" s="2">
        <v>2</v>
      </c>
      <c r="BT21" s="2">
        <v>1</v>
      </c>
      <c r="BU21" s="24">
        <f t="shared" si="21"/>
        <v>4</v>
      </c>
      <c r="BV21" s="23"/>
      <c r="BW21" s="2">
        <v>0</v>
      </c>
      <c r="BX21" s="2">
        <v>2</v>
      </c>
      <c r="BY21" s="24">
        <f t="shared" si="22"/>
        <v>3</v>
      </c>
      <c r="BZ21" s="23"/>
      <c r="CA21" s="2">
        <v>4</v>
      </c>
      <c r="CB21" s="2">
        <v>1</v>
      </c>
      <c r="CC21" s="24">
        <f t="shared" si="23"/>
        <v>3</v>
      </c>
      <c r="CD21" s="23"/>
      <c r="CE21" s="2">
        <v>2</v>
      </c>
      <c r="CF21" s="2">
        <v>0</v>
      </c>
      <c r="CG21" s="24">
        <f t="shared" si="24"/>
        <v>3</v>
      </c>
      <c r="CH21" s="23"/>
      <c r="CI21" s="8">
        <f t="shared" si="25"/>
        <v>13</v>
      </c>
      <c r="CJ21" s="2">
        <v>2</v>
      </c>
      <c r="CK21" s="2">
        <v>1</v>
      </c>
      <c r="CL21" s="24">
        <f t="shared" si="26"/>
        <v>1</v>
      </c>
      <c r="CM21" s="23"/>
      <c r="CN21" s="2">
        <v>3</v>
      </c>
      <c r="CO21" s="2">
        <v>1</v>
      </c>
      <c r="CP21" s="24">
        <f t="shared" si="27"/>
        <v>3</v>
      </c>
      <c r="CQ21" s="23"/>
      <c r="CR21" s="2">
        <v>2</v>
      </c>
      <c r="CS21" s="2">
        <v>0</v>
      </c>
      <c r="CT21" s="24">
        <f t="shared" si="28"/>
        <v>4</v>
      </c>
      <c r="CU21" s="23"/>
      <c r="CV21" s="2">
        <v>0</v>
      </c>
      <c r="CW21" s="2">
        <v>2</v>
      </c>
      <c r="CX21" s="24">
        <f t="shared" si="29"/>
        <v>3</v>
      </c>
      <c r="CY21" s="23"/>
      <c r="CZ21" s="8">
        <f t="shared" si="30"/>
        <v>11</v>
      </c>
      <c r="DA21" s="21">
        <v>3</v>
      </c>
      <c r="DB21" s="21">
        <v>1</v>
      </c>
      <c r="DC21" s="24">
        <f t="shared" si="126"/>
        <v>1</v>
      </c>
      <c r="DD21" s="23"/>
      <c r="DE21" s="21">
        <v>1</v>
      </c>
      <c r="DF21" s="21">
        <v>1</v>
      </c>
      <c r="DG21" s="24">
        <f t="shared" si="127"/>
        <v>1</v>
      </c>
      <c r="DH21" s="23"/>
      <c r="DI21" s="21">
        <v>2</v>
      </c>
      <c r="DJ21" s="21">
        <v>0</v>
      </c>
      <c r="DK21" s="24">
        <f t="shared" si="128"/>
        <v>4</v>
      </c>
      <c r="DL21" s="23"/>
      <c r="DM21" s="21">
        <v>1</v>
      </c>
      <c r="DN21" s="21">
        <v>1</v>
      </c>
      <c r="DO21" s="24">
        <f t="shared" si="129"/>
        <v>1</v>
      </c>
      <c r="DP21" s="23"/>
      <c r="DQ21" s="8">
        <v>3.5</v>
      </c>
      <c r="DR21" s="2">
        <v>3</v>
      </c>
      <c r="DS21" s="2">
        <v>1</v>
      </c>
      <c r="DT21" s="24">
        <f t="shared" si="130"/>
        <v>3</v>
      </c>
      <c r="DU21" s="23"/>
      <c r="DV21" s="2">
        <v>1</v>
      </c>
      <c r="DW21" s="2">
        <v>2</v>
      </c>
      <c r="DX21" s="24">
        <f t="shared" si="131"/>
        <v>3</v>
      </c>
      <c r="DY21" s="23"/>
      <c r="DZ21" s="2">
        <v>6</v>
      </c>
      <c r="EA21" s="2">
        <v>0</v>
      </c>
      <c r="EB21" s="24">
        <f t="shared" si="132"/>
        <v>4</v>
      </c>
      <c r="EC21" s="23"/>
      <c r="ED21" s="2">
        <v>1</v>
      </c>
      <c r="EE21" s="2">
        <v>1</v>
      </c>
      <c r="EF21" s="24">
        <f t="shared" si="133"/>
        <v>1</v>
      </c>
      <c r="EG21" s="23"/>
      <c r="EH21" s="8">
        <f t="shared" si="32"/>
        <v>11</v>
      </c>
      <c r="EI21" s="2">
        <v>2</v>
      </c>
      <c r="EJ21" s="2">
        <v>0</v>
      </c>
      <c r="EK21" s="24">
        <f t="shared" si="33"/>
        <v>3</v>
      </c>
      <c r="EL21" s="23"/>
      <c r="EM21" s="2">
        <v>4</v>
      </c>
      <c r="EN21" s="2">
        <v>0</v>
      </c>
      <c r="EO21" s="24">
        <f t="shared" si="34"/>
        <v>3</v>
      </c>
      <c r="EP21" s="23"/>
      <c r="EQ21" s="2">
        <v>3</v>
      </c>
      <c r="ER21" s="2">
        <v>0</v>
      </c>
      <c r="ES21" s="24">
        <f t="shared" si="35"/>
        <v>1</v>
      </c>
      <c r="ET21" s="23"/>
      <c r="EU21" s="2">
        <v>1</v>
      </c>
      <c r="EV21" s="2">
        <v>3</v>
      </c>
      <c r="EW21" s="24">
        <f t="shared" si="36"/>
        <v>3</v>
      </c>
      <c r="EX21" s="23"/>
      <c r="EY21" s="8">
        <f t="shared" si="37"/>
        <v>10</v>
      </c>
      <c r="EZ21" s="2">
        <v>4</v>
      </c>
      <c r="FA21" s="2">
        <v>0</v>
      </c>
      <c r="FB21" s="24"/>
      <c r="FC21" s="23"/>
      <c r="FD21" s="2">
        <v>3</v>
      </c>
      <c r="FE21" s="2">
        <v>0</v>
      </c>
      <c r="FF21" s="24"/>
      <c r="FG21" s="23"/>
      <c r="FH21" s="2">
        <v>1</v>
      </c>
      <c r="FI21" s="2">
        <v>0</v>
      </c>
      <c r="FJ21" s="24"/>
      <c r="FK21" s="23"/>
      <c r="FL21" s="2">
        <v>0</v>
      </c>
      <c r="FM21" s="2">
        <v>2</v>
      </c>
      <c r="FN21" s="24"/>
      <c r="FO21" s="23"/>
      <c r="FP21" s="8">
        <f t="shared" si="38"/>
        <v>0</v>
      </c>
      <c r="FQ21" s="2"/>
      <c r="FR21" s="2"/>
      <c r="FS21" s="24">
        <f t="shared" si="39"/>
        <v>0</v>
      </c>
      <c r="FT21" s="23"/>
      <c r="FU21" s="2"/>
      <c r="FV21" s="2"/>
      <c r="FW21" s="24">
        <f t="shared" si="40"/>
        <v>0</v>
      </c>
      <c r="FX21" s="23"/>
      <c r="FY21" s="2"/>
      <c r="FZ21" s="2"/>
      <c r="GA21" s="24">
        <f t="shared" si="41"/>
        <v>0</v>
      </c>
      <c r="GB21" s="23"/>
      <c r="GC21" s="2"/>
      <c r="GD21" s="2"/>
      <c r="GE21" s="24">
        <f t="shared" si="42"/>
        <v>0</v>
      </c>
      <c r="GF21" s="23"/>
      <c r="GG21" s="8">
        <f t="shared" si="43"/>
        <v>0</v>
      </c>
      <c r="GH21" s="2"/>
      <c r="GI21" s="2"/>
      <c r="GJ21" s="24">
        <f t="shared" si="44"/>
        <v>0</v>
      </c>
      <c r="GK21" s="23"/>
      <c r="GL21" s="2"/>
      <c r="GM21" s="2"/>
      <c r="GN21" s="24">
        <f t="shared" si="45"/>
        <v>0</v>
      </c>
      <c r="GO21" s="23"/>
      <c r="GP21" s="2"/>
      <c r="GQ21" s="2"/>
      <c r="GR21" s="24">
        <f t="shared" si="46"/>
        <v>0</v>
      </c>
      <c r="GS21" s="23"/>
      <c r="GT21" s="2"/>
      <c r="GU21" s="2"/>
      <c r="GV21" s="24">
        <f t="shared" si="47"/>
        <v>0</v>
      </c>
      <c r="GW21" s="23"/>
      <c r="GX21" s="8">
        <f t="shared" si="48"/>
        <v>0</v>
      </c>
      <c r="GY21" s="2"/>
      <c r="GZ21" s="2"/>
      <c r="HA21" s="24">
        <f t="shared" si="49"/>
        <v>0</v>
      </c>
      <c r="HB21" s="23"/>
      <c r="HC21" s="2"/>
      <c r="HD21" s="2"/>
      <c r="HE21" s="24">
        <f t="shared" si="50"/>
        <v>0</v>
      </c>
      <c r="HF21" s="23"/>
      <c r="HG21" s="2"/>
      <c r="HH21" s="2"/>
      <c r="HI21" s="24">
        <f t="shared" si="51"/>
        <v>0</v>
      </c>
      <c r="HJ21" s="23"/>
      <c r="HK21" s="2"/>
      <c r="HL21" s="2"/>
      <c r="HM21" s="24">
        <f t="shared" si="52"/>
        <v>0</v>
      </c>
      <c r="HN21" s="23"/>
      <c r="HO21" s="2"/>
      <c r="HP21" s="2"/>
      <c r="HQ21" s="24">
        <f t="shared" si="53"/>
        <v>0</v>
      </c>
      <c r="HR21" s="23"/>
      <c r="HS21" s="2"/>
      <c r="HT21" s="2"/>
      <c r="HU21" s="24">
        <f t="shared" si="54"/>
        <v>0</v>
      </c>
      <c r="HV21" s="23"/>
      <c r="HW21" s="8">
        <f t="shared" si="55"/>
        <v>0</v>
      </c>
      <c r="HX21" s="2"/>
      <c r="HY21" s="2"/>
      <c r="HZ21" s="24">
        <f t="shared" si="56"/>
        <v>0</v>
      </c>
      <c r="IA21" s="23"/>
      <c r="IB21" s="2"/>
      <c r="IC21" s="2"/>
      <c r="ID21" s="24">
        <f t="shared" si="57"/>
        <v>0</v>
      </c>
      <c r="IE21" s="23"/>
      <c r="IF21" s="2"/>
      <c r="IG21" s="2"/>
      <c r="IH21" s="24">
        <f t="shared" si="58"/>
        <v>0</v>
      </c>
      <c r="II21" s="23"/>
      <c r="IJ21" s="2"/>
      <c r="IK21" s="2"/>
      <c r="IL21" s="24">
        <f t="shared" si="59"/>
        <v>0</v>
      </c>
      <c r="IM21" s="23"/>
      <c r="IN21" s="2"/>
      <c r="IO21" s="2"/>
      <c r="IP21" s="24">
        <f t="shared" si="60"/>
        <v>0</v>
      </c>
      <c r="IQ21" s="23"/>
      <c r="IR21" s="2"/>
      <c r="IS21" s="2"/>
      <c r="IT21" s="24">
        <f t="shared" si="61"/>
        <v>0</v>
      </c>
      <c r="IU21" s="23"/>
      <c r="IV21" s="8">
        <f t="shared" si="62"/>
        <v>0</v>
      </c>
      <c r="IW21" s="2"/>
      <c r="IX21" s="2"/>
      <c r="IY21" s="24">
        <f t="shared" si="63"/>
        <v>0</v>
      </c>
      <c r="IZ21" s="23"/>
      <c r="JA21" s="2"/>
      <c r="JB21" s="2"/>
      <c r="JC21" s="24">
        <f t="shared" si="64"/>
        <v>0</v>
      </c>
      <c r="JD21" s="23"/>
      <c r="JE21" s="2"/>
      <c r="JF21" s="2"/>
      <c r="JG21" s="24">
        <f t="shared" si="65"/>
        <v>0</v>
      </c>
      <c r="JH21" s="23"/>
      <c r="JI21" s="2"/>
      <c r="JJ21" s="2"/>
      <c r="JK21" s="24">
        <f t="shared" si="66"/>
        <v>0</v>
      </c>
      <c r="JL21" s="23"/>
      <c r="JM21" s="2"/>
      <c r="JN21" s="2"/>
      <c r="JO21" s="24">
        <f t="shared" si="67"/>
        <v>0</v>
      </c>
      <c r="JP21" s="23"/>
      <c r="JQ21" s="2"/>
      <c r="JR21" s="2"/>
      <c r="JS21" s="24">
        <f t="shared" si="68"/>
        <v>0</v>
      </c>
      <c r="JT21" s="23"/>
      <c r="JU21" s="8">
        <f t="shared" si="69"/>
        <v>0</v>
      </c>
      <c r="JV21" s="2"/>
      <c r="JW21" s="2"/>
      <c r="JX21" s="24">
        <f t="shared" si="70"/>
        <v>0</v>
      </c>
      <c r="JY21" s="23"/>
      <c r="JZ21" s="2"/>
      <c r="KA21" s="2"/>
      <c r="KB21" s="24">
        <f t="shared" si="71"/>
        <v>0</v>
      </c>
      <c r="KC21" s="23"/>
      <c r="KD21" s="2"/>
      <c r="KE21" s="2"/>
      <c r="KF21" s="24">
        <f t="shared" si="72"/>
        <v>0</v>
      </c>
      <c r="KG21" s="23"/>
      <c r="KH21" s="2"/>
      <c r="KI21" s="2"/>
      <c r="KJ21" s="24">
        <f t="shared" si="73"/>
        <v>0</v>
      </c>
      <c r="KK21" s="23"/>
      <c r="KL21" s="2"/>
      <c r="KM21" s="2"/>
      <c r="KN21" s="24">
        <f t="shared" si="74"/>
        <v>0</v>
      </c>
      <c r="KO21" s="23"/>
      <c r="KP21" s="2"/>
      <c r="KQ21" s="2"/>
      <c r="KR21" s="24">
        <f t="shared" si="75"/>
        <v>0</v>
      </c>
      <c r="KS21" s="23"/>
      <c r="KT21" s="8">
        <f t="shared" si="76"/>
        <v>0</v>
      </c>
      <c r="KU21" s="2"/>
      <c r="KV21" s="2"/>
      <c r="KW21" s="24">
        <f t="shared" si="77"/>
        <v>0</v>
      </c>
      <c r="KX21" s="23"/>
      <c r="KY21" s="8">
        <f t="shared" si="78"/>
        <v>0</v>
      </c>
      <c r="KZ21" s="2"/>
      <c r="LA21" s="2"/>
      <c r="LB21" s="24">
        <f t="shared" si="79"/>
        <v>0</v>
      </c>
      <c r="LC21" s="23"/>
      <c r="LD21" s="2"/>
      <c r="LE21" s="2"/>
      <c r="LF21" s="24">
        <f t="shared" si="80"/>
        <v>0</v>
      </c>
      <c r="LG21" s="23"/>
      <c r="LH21" s="2"/>
      <c r="LI21" s="2"/>
      <c r="LJ21" s="24">
        <f t="shared" si="81"/>
        <v>0</v>
      </c>
      <c r="LK21" s="23"/>
      <c r="LL21" s="8">
        <f t="shared" si="82"/>
        <v>0</v>
      </c>
      <c r="LM21" s="2"/>
      <c r="LN21" s="2"/>
      <c r="LO21" s="24">
        <f t="shared" si="83"/>
        <v>0</v>
      </c>
      <c r="LP21" s="23"/>
      <c r="LQ21" s="2"/>
      <c r="LR21" s="2"/>
      <c r="LS21" s="24">
        <f t="shared" si="84"/>
        <v>0</v>
      </c>
      <c r="LT21" s="23"/>
      <c r="LU21" s="2"/>
      <c r="LV21" s="2"/>
      <c r="LW21" s="24">
        <f t="shared" si="85"/>
        <v>0</v>
      </c>
      <c r="LX21" s="23"/>
      <c r="LY21" s="8">
        <f t="shared" si="86"/>
        <v>0</v>
      </c>
      <c r="LZ21" s="2"/>
      <c r="MA21" s="2"/>
      <c r="MB21" s="24">
        <f t="shared" si="87"/>
        <v>0</v>
      </c>
      <c r="MC21" s="23"/>
      <c r="MD21" s="2"/>
      <c r="ME21" s="2"/>
      <c r="MF21" s="24">
        <f t="shared" si="88"/>
        <v>0</v>
      </c>
      <c r="MG21" s="23"/>
      <c r="MH21" s="2"/>
      <c r="MI21" s="2"/>
      <c r="MJ21" s="24">
        <f t="shared" si="89"/>
        <v>0</v>
      </c>
      <c r="MK21" s="23"/>
      <c r="ML21" s="8">
        <f t="shared" si="90"/>
        <v>0</v>
      </c>
      <c r="MM21" s="2"/>
      <c r="MN21" s="2"/>
      <c r="MO21" s="24">
        <f t="shared" si="91"/>
        <v>0</v>
      </c>
      <c r="MP21" s="23"/>
      <c r="MQ21" s="2"/>
      <c r="MR21" s="2"/>
      <c r="MS21" s="24">
        <f t="shared" si="92"/>
        <v>0</v>
      </c>
      <c r="MT21" s="23"/>
      <c r="MU21" s="2"/>
      <c r="MV21" s="2"/>
      <c r="MW21" s="24">
        <f t="shared" si="93"/>
        <v>0</v>
      </c>
      <c r="MX21" s="23"/>
      <c r="MY21" s="8">
        <f t="shared" si="94"/>
        <v>0</v>
      </c>
      <c r="MZ21" s="2"/>
      <c r="NA21" s="2"/>
      <c r="NB21" s="24">
        <f t="shared" si="95"/>
        <v>0</v>
      </c>
      <c r="NC21" s="23"/>
      <c r="ND21" s="2"/>
      <c r="NE21" s="2"/>
      <c r="NF21" s="24">
        <f t="shared" si="96"/>
        <v>0</v>
      </c>
      <c r="NG21" s="23"/>
      <c r="NH21" s="2"/>
      <c r="NI21" s="2"/>
      <c r="NJ21" s="24">
        <f t="shared" si="97"/>
        <v>0</v>
      </c>
      <c r="NK21" s="23"/>
      <c r="NL21" s="8">
        <f t="shared" si="98"/>
        <v>0</v>
      </c>
      <c r="NM21" s="2"/>
      <c r="NN21" s="2"/>
      <c r="NO21" s="24">
        <f t="shared" si="99"/>
        <v>0</v>
      </c>
      <c r="NP21" s="23"/>
      <c r="NQ21" s="2"/>
      <c r="NR21" s="2"/>
      <c r="NS21" s="24">
        <f t="shared" si="100"/>
        <v>0</v>
      </c>
      <c r="NT21" s="23"/>
      <c r="NU21" s="8">
        <f t="shared" si="101"/>
        <v>0</v>
      </c>
      <c r="NV21" s="2"/>
      <c r="NW21" s="2"/>
      <c r="NX21" s="24">
        <f t="shared" si="102"/>
        <v>0</v>
      </c>
      <c r="NY21" s="23"/>
      <c r="NZ21" s="2"/>
      <c r="OA21" s="2"/>
      <c r="OB21" s="24">
        <f t="shared" si="103"/>
        <v>0</v>
      </c>
      <c r="OC21" s="23"/>
      <c r="OD21" s="8">
        <f t="shared" si="104"/>
        <v>0</v>
      </c>
      <c r="OE21" s="2"/>
      <c r="OF21" s="2"/>
      <c r="OG21" s="24">
        <f t="shared" si="105"/>
        <v>0</v>
      </c>
      <c r="OH21" s="23"/>
      <c r="OI21" s="2"/>
      <c r="OJ21" s="2"/>
      <c r="OK21" s="24">
        <f t="shared" si="106"/>
        <v>0</v>
      </c>
      <c r="OL21" s="23"/>
      <c r="OM21" s="8">
        <f t="shared" si="107"/>
        <v>0</v>
      </c>
      <c r="ON21" s="2"/>
      <c r="OO21" s="2"/>
      <c r="OP21" s="24">
        <f t="shared" si="108"/>
        <v>0</v>
      </c>
      <c r="OQ21" s="23"/>
      <c r="OR21" s="2"/>
      <c r="OS21" s="2"/>
      <c r="OT21" s="24">
        <f t="shared" si="109"/>
        <v>0</v>
      </c>
      <c r="OU21" s="23"/>
      <c r="OV21" s="8">
        <f t="shared" si="110"/>
        <v>0</v>
      </c>
      <c r="OW21" s="2"/>
      <c r="OX21" s="2"/>
      <c r="OY21" s="24">
        <f t="shared" si="111"/>
        <v>0</v>
      </c>
      <c r="OZ21" s="23"/>
      <c r="PA21" s="8">
        <f t="shared" si="112"/>
        <v>0</v>
      </c>
      <c r="PB21" s="2"/>
      <c r="PC21" s="2"/>
      <c r="PD21" s="24">
        <f t="shared" si="113"/>
        <v>0</v>
      </c>
      <c r="PE21" s="23"/>
      <c r="PF21" s="8">
        <f t="shared" si="114"/>
        <v>0</v>
      </c>
      <c r="PG21" s="2"/>
      <c r="PH21" s="2"/>
      <c r="PI21" s="24">
        <f t="shared" si="115"/>
        <v>0</v>
      </c>
      <c r="PJ21" s="23"/>
      <c r="PK21" s="2"/>
      <c r="PL21" s="2"/>
      <c r="PM21" s="24">
        <f t="shared" si="116"/>
        <v>0</v>
      </c>
      <c r="PN21" s="23"/>
      <c r="PO21" s="8">
        <f t="shared" si="117"/>
        <v>0</v>
      </c>
      <c r="PP21" s="2"/>
      <c r="PQ21" s="2"/>
      <c r="PR21" s="24">
        <f t="shared" si="118"/>
        <v>0</v>
      </c>
      <c r="PS21" s="23"/>
      <c r="PT21" s="8">
        <f t="shared" si="119"/>
        <v>0</v>
      </c>
      <c r="PU21" s="2"/>
      <c r="PV21" s="2"/>
      <c r="PW21" s="24">
        <f t="shared" si="120"/>
        <v>0</v>
      </c>
      <c r="PX21" s="23"/>
      <c r="PY21" s="8">
        <f t="shared" si="121"/>
        <v>0</v>
      </c>
      <c r="PZ21" s="2"/>
      <c r="QA21" s="2"/>
      <c r="QB21" s="24">
        <f t="shared" si="122"/>
        <v>0</v>
      </c>
      <c r="QC21" s="23"/>
      <c r="QD21" s="8">
        <f t="shared" si="123"/>
        <v>0</v>
      </c>
      <c r="QE21" s="2"/>
      <c r="QF21" s="2"/>
      <c r="QG21" s="24">
        <f t="shared" si="124"/>
        <v>0</v>
      </c>
      <c r="QH21" s="23"/>
      <c r="QI21" s="8">
        <f t="shared" si="125"/>
        <v>0</v>
      </c>
    </row>
    <row r="22" spans="1:451" ht="14.25" customHeight="1" x14ac:dyDescent="0.3">
      <c r="A22" s="5" t="s">
        <v>21</v>
      </c>
      <c r="B22" s="2">
        <v>2</v>
      </c>
      <c r="C22" s="2">
        <v>0</v>
      </c>
      <c r="D22" s="24">
        <f t="shared" si="0"/>
        <v>5</v>
      </c>
      <c r="E22" s="23"/>
      <c r="F22" s="2">
        <v>1</v>
      </c>
      <c r="G22" s="2">
        <v>1</v>
      </c>
      <c r="H22" s="24">
        <f t="shared" si="1"/>
        <v>1</v>
      </c>
      <c r="I22" s="23"/>
      <c r="J22" s="8">
        <f t="shared" si="2"/>
        <v>6</v>
      </c>
      <c r="K22" s="2">
        <v>2</v>
      </c>
      <c r="L22" s="2">
        <v>0</v>
      </c>
      <c r="M22" s="24">
        <f t="shared" si="3"/>
        <v>0</v>
      </c>
      <c r="N22" s="23"/>
      <c r="O22" s="2">
        <v>1</v>
      </c>
      <c r="P22" s="2">
        <v>2</v>
      </c>
      <c r="Q22" s="24">
        <f t="shared" si="4"/>
        <v>0</v>
      </c>
      <c r="R22" s="23"/>
      <c r="S22" s="8">
        <f t="shared" si="5"/>
        <v>0</v>
      </c>
      <c r="T22" s="2">
        <v>0</v>
      </c>
      <c r="U22" s="2">
        <v>2</v>
      </c>
      <c r="V22" s="24">
        <f t="shared" si="6"/>
        <v>0</v>
      </c>
      <c r="W22" s="23"/>
      <c r="X22" s="2">
        <v>3</v>
      </c>
      <c r="Y22" s="2">
        <v>1</v>
      </c>
      <c r="Z22" s="24">
        <f t="shared" si="7"/>
        <v>1</v>
      </c>
      <c r="AA22" s="23"/>
      <c r="AB22" s="2">
        <v>0</v>
      </c>
      <c r="AC22" s="2">
        <v>2</v>
      </c>
      <c r="AD22" s="24">
        <f t="shared" si="8"/>
        <v>4</v>
      </c>
      <c r="AE22" s="23"/>
      <c r="AF22" s="2">
        <v>1</v>
      </c>
      <c r="AG22" s="2">
        <v>1</v>
      </c>
      <c r="AH22" s="24">
        <f t="shared" si="9"/>
        <v>0</v>
      </c>
      <c r="AI22" s="23"/>
      <c r="AJ22" s="8">
        <f t="shared" si="10"/>
        <v>5</v>
      </c>
      <c r="AK22" s="2">
        <v>4</v>
      </c>
      <c r="AL22" s="2">
        <v>0</v>
      </c>
      <c r="AM22" s="24">
        <f t="shared" si="11"/>
        <v>3</v>
      </c>
      <c r="AN22" s="23"/>
      <c r="AO22" s="2">
        <v>2</v>
      </c>
      <c r="AP22" s="2">
        <v>1</v>
      </c>
      <c r="AQ22" s="24">
        <f t="shared" si="12"/>
        <v>1</v>
      </c>
      <c r="AR22" s="23"/>
      <c r="AS22" s="2">
        <v>1</v>
      </c>
      <c r="AT22" s="2">
        <v>1</v>
      </c>
      <c r="AU22" s="24">
        <f t="shared" si="13"/>
        <v>1</v>
      </c>
      <c r="AV22" s="23"/>
      <c r="AW22" s="2">
        <v>2</v>
      </c>
      <c r="AX22" s="2">
        <v>0</v>
      </c>
      <c r="AY22" s="24">
        <f t="shared" si="14"/>
        <v>3</v>
      </c>
      <c r="AZ22" s="23"/>
      <c r="BA22" s="8">
        <f t="shared" si="15"/>
        <v>8</v>
      </c>
      <c r="BB22" s="2">
        <v>3</v>
      </c>
      <c r="BC22" s="2">
        <v>0</v>
      </c>
      <c r="BD22" s="24">
        <f t="shared" si="16"/>
        <v>1</v>
      </c>
      <c r="BE22" s="23"/>
      <c r="BF22" s="2">
        <v>1</v>
      </c>
      <c r="BG22" s="2">
        <v>1</v>
      </c>
      <c r="BH22" s="24">
        <f t="shared" si="17"/>
        <v>5</v>
      </c>
      <c r="BI22" s="23"/>
      <c r="BJ22" s="2">
        <v>0</v>
      </c>
      <c r="BK22" s="2">
        <v>2</v>
      </c>
      <c r="BL22" s="24">
        <f t="shared" si="18"/>
        <v>0</v>
      </c>
      <c r="BM22" s="23"/>
      <c r="BN22" s="2">
        <v>1</v>
      </c>
      <c r="BO22" s="2">
        <v>0</v>
      </c>
      <c r="BP22" s="24">
        <f t="shared" si="19"/>
        <v>0</v>
      </c>
      <c r="BQ22" s="23"/>
      <c r="BR22" s="8">
        <f t="shared" si="20"/>
        <v>6</v>
      </c>
      <c r="BS22" s="2">
        <v>2</v>
      </c>
      <c r="BT22" s="2">
        <v>1</v>
      </c>
      <c r="BU22" s="24">
        <f t="shared" si="21"/>
        <v>4</v>
      </c>
      <c r="BV22" s="23"/>
      <c r="BW22" s="2">
        <v>1</v>
      </c>
      <c r="BX22" s="2">
        <v>2</v>
      </c>
      <c r="BY22" s="24">
        <f t="shared" si="22"/>
        <v>4</v>
      </c>
      <c r="BZ22" s="23"/>
      <c r="CA22" s="2">
        <v>2</v>
      </c>
      <c r="CB22" s="2">
        <v>0</v>
      </c>
      <c r="CC22" s="24">
        <f t="shared" si="23"/>
        <v>4</v>
      </c>
      <c r="CD22" s="23"/>
      <c r="CE22" s="2">
        <v>1</v>
      </c>
      <c r="CF22" s="2">
        <v>1</v>
      </c>
      <c r="CG22" s="24">
        <f t="shared" si="24"/>
        <v>1</v>
      </c>
      <c r="CH22" s="23"/>
      <c r="CI22" s="8">
        <f t="shared" si="25"/>
        <v>13</v>
      </c>
      <c r="CJ22" s="2">
        <v>3</v>
      </c>
      <c r="CK22" s="2">
        <v>0</v>
      </c>
      <c r="CL22" s="24">
        <f t="shared" si="26"/>
        <v>0</v>
      </c>
      <c r="CM22" s="23"/>
      <c r="CN22" s="2">
        <v>1</v>
      </c>
      <c r="CO22" s="2">
        <v>1</v>
      </c>
      <c r="CP22" s="24">
        <f t="shared" si="27"/>
        <v>0</v>
      </c>
      <c r="CQ22" s="23"/>
      <c r="CR22" s="2">
        <v>2</v>
      </c>
      <c r="CS22" s="2">
        <v>1</v>
      </c>
      <c r="CT22" s="24">
        <f t="shared" si="28"/>
        <v>3</v>
      </c>
      <c r="CU22" s="23"/>
      <c r="CV22" s="2">
        <v>0</v>
      </c>
      <c r="CW22" s="2">
        <v>2</v>
      </c>
      <c r="CX22" s="24">
        <f t="shared" si="29"/>
        <v>3</v>
      </c>
      <c r="CY22" s="23"/>
      <c r="CZ22" s="8">
        <f t="shared" si="30"/>
        <v>6</v>
      </c>
      <c r="DA22" s="2">
        <v>2</v>
      </c>
      <c r="DB22" s="2">
        <v>0</v>
      </c>
      <c r="DC22" s="24">
        <f t="shared" si="126"/>
        <v>0</v>
      </c>
      <c r="DD22" s="23"/>
      <c r="DE22" s="2">
        <v>2</v>
      </c>
      <c r="DF22" s="2">
        <v>1</v>
      </c>
      <c r="DG22" s="24">
        <f t="shared" si="127"/>
        <v>4</v>
      </c>
      <c r="DH22" s="23"/>
      <c r="DI22" s="2">
        <v>2</v>
      </c>
      <c r="DJ22" s="2">
        <v>1</v>
      </c>
      <c r="DK22" s="24">
        <f t="shared" si="128"/>
        <v>3</v>
      </c>
      <c r="DL22" s="23"/>
      <c r="DM22" s="2">
        <v>2</v>
      </c>
      <c r="DN22" s="2">
        <v>1</v>
      </c>
      <c r="DO22" s="24">
        <f t="shared" si="129"/>
        <v>3</v>
      </c>
      <c r="DP22" s="23"/>
      <c r="DQ22" s="8">
        <f t="shared" si="31"/>
        <v>10</v>
      </c>
      <c r="DR22" s="2">
        <v>2</v>
      </c>
      <c r="DS22" s="2">
        <v>1</v>
      </c>
      <c r="DT22" s="24">
        <f t="shared" si="130"/>
        <v>4</v>
      </c>
      <c r="DU22" s="23"/>
      <c r="DV22" s="2">
        <v>1</v>
      </c>
      <c r="DW22" s="2">
        <v>1</v>
      </c>
      <c r="DX22" s="24">
        <f t="shared" si="131"/>
        <v>1</v>
      </c>
      <c r="DY22" s="23"/>
      <c r="DZ22" s="2">
        <v>3</v>
      </c>
      <c r="EA22" s="2">
        <v>0</v>
      </c>
      <c r="EB22" s="24">
        <f t="shared" si="132"/>
        <v>5</v>
      </c>
      <c r="EC22" s="23"/>
      <c r="ED22" s="2">
        <v>1</v>
      </c>
      <c r="EE22" s="2">
        <v>1</v>
      </c>
      <c r="EF22" s="24">
        <f t="shared" si="133"/>
        <v>1</v>
      </c>
      <c r="EG22" s="23"/>
      <c r="EH22" s="8">
        <f t="shared" si="32"/>
        <v>11</v>
      </c>
      <c r="EI22" s="2">
        <v>1</v>
      </c>
      <c r="EJ22" s="2">
        <v>1</v>
      </c>
      <c r="EK22" s="24">
        <f t="shared" si="33"/>
        <v>1</v>
      </c>
      <c r="EL22" s="23"/>
      <c r="EM22" s="2">
        <v>2</v>
      </c>
      <c r="EN22" s="2">
        <v>1</v>
      </c>
      <c r="EO22" s="24">
        <f t="shared" si="34"/>
        <v>5</v>
      </c>
      <c r="EP22" s="23"/>
      <c r="EQ22" s="2">
        <v>2</v>
      </c>
      <c r="ER22" s="2">
        <v>0</v>
      </c>
      <c r="ES22" s="24">
        <f t="shared" si="35"/>
        <v>1</v>
      </c>
      <c r="ET22" s="23"/>
      <c r="EU22" s="2">
        <v>1</v>
      </c>
      <c r="EV22" s="2">
        <v>2</v>
      </c>
      <c r="EW22" s="24">
        <f t="shared" si="36"/>
        <v>3</v>
      </c>
      <c r="EX22" s="23"/>
      <c r="EY22" s="8">
        <f t="shared" si="37"/>
        <v>10</v>
      </c>
      <c r="EZ22" s="2">
        <v>2</v>
      </c>
      <c r="FA22" s="2">
        <v>0</v>
      </c>
      <c r="FB22" s="24"/>
      <c r="FC22" s="23"/>
      <c r="FD22" s="2">
        <v>2</v>
      </c>
      <c r="FE22" s="2">
        <v>1</v>
      </c>
      <c r="FF22" s="24"/>
      <c r="FG22" s="23"/>
      <c r="FH22" s="2">
        <v>2</v>
      </c>
      <c r="FI22" s="2">
        <v>0</v>
      </c>
      <c r="FJ22" s="24"/>
      <c r="FK22" s="23"/>
      <c r="FL22" s="2">
        <v>1</v>
      </c>
      <c r="FM22" s="2">
        <v>2</v>
      </c>
      <c r="FN22" s="24"/>
      <c r="FO22" s="23"/>
      <c r="FP22" s="8">
        <f t="shared" si="38"/>
        <v>0</v>
      </c>
      <c r="FQ22" s="2"/>
      <c r="FR22" s="2"/>
      <c r="FS22" s="24">
        <f t="shared" si="39"/>
        <v>0</v>
      </c>
      <c r="FT22" s="23"/>
      <c r="FU22" s="2"/>
      <c r="FV22" s="2"/>
      <c r="FW22" s="24">
        <f t="shared" si="40"/>
        <v>0</v>
      </c>
      <c r="FX22" s="23"/>
      <c r="FY22" s="2"/>
      <c r="FZ22" s="2"/>
      <c r="GA22" s="24">
        <f t="shared" si="41"/>
        <v>0</v>
      </c>
      <c r="GB22" s="23"/>
      <c r="GC22" s="2"/>
      <c r="GD22" s="2"/>
      <c r="GE22" s="24">
        <f t="shared" si="42"/>
        <v>0</v>
      </c>
      <c r="GF22" s="23"/>
      <c r="GG22" s="8">
        <f t="shared" si="43"/>
        <v>0</v>
      </c>
      <c r="GH22" s="2"/>
      <c r="GI22" s="2"/>
      <c r="GJ22" s="24">
        <f t="shared" si="44"/>
        <v>0</v>
      </c>
      <c r="GK22" s="23"/>
      <c r="GL22" s="2"/>
      <c r="GM22" s="2"/>
      <c r="GN22" s="24">
        <f t="shared" si="45"/>
        <v>0</v>
      </c>
      <c r="GO22" s="23"/>
      <c r="GP22" s="2"/>
      <c r="GQ22" s="2"/>
      <c r="GR22" s="24">
        <f t="shared" si="46"/>
        <v>0</v>
      </c>
      <c r="GS22" s="23"/>
      <c r="GT22" s="2"/>
      <c r="GU22" s="2"/>
      <c r="GV22" s="24">
        <f t="shared" si="47"/>
        <v>0</v>
      </c>
      <c r="GW22" s="23"/>
      <c r="GX22" s="8">
        <f t="shared" si="48"/>
        <v>0</v>
      </c>
      <c r="GY22" s="2"/>
      <c r="GZ22" s="2"/>
      <c r="HA22" s="24">
        <f t="shared" si="49"/>
        <v>0</v>
      </c>
      <c r="HB22" s="23"/>
      <c r="HC22" s="2"/>
      <c r="HD22" s="2"/>
      <c r="HE22" s="24">
        <f t="shared" si="50"/>
        <v>0</v>
      </c>
      <c r="HF22" s="23"/>
      <c r="HG22" s="2"/>
      <c r="HH22" s="2"/>
      <c r="HI22" s="24">
        <f t="shared" si="51"/>
        <v>0</v>
      </c>
      <c r="HJ22" s="23"/>
      <c r="HK22" s="2"/>
      <c r="HL22" s="2"/>
      <c r="HM22" s="24">
        <f t="shared" si="52"/>
        <v>0</v>
      </c>
      <c r="HN22" s="23"/>
      <c r="HO22" s="2"/>
      <c r="HP22" s="2"/>
      <c r="HQ22" s="24">
        <f t="shared" si="53"/>
        <v>0</v>
      </c>
      <c r="HR22" s="23"/>
      <c r="HS22" s="2"/>
      <c r="HT22" s="2"/>
      <c r="HU22" s="24">
        <f t="shared" si="54"/>
        <v>0</v>
      </c>
      <c r="HV22" s="23"/>
      <c r="HW22" s="8">
        <f t="shared" si="55"/>
        <v>0</v>
      </c>
      <c r="HX22" s="2"/>
      <c r="HY22" s="2"/>
      <c r="HZ22" s="24">
        <f t="shared" si="56"/>
        <v>0</v>
      </c>
      <c r="IA22" s="23"/>
      <c r="IB22" s="2"/>
      <c r="IC22" s="2"/>
      <c r="ID22" s="24">
        <f t="shared" si="57"/>
        <v>0</v>
      </c>
      <c r="IE22" s="23"/>
      <c r="IF22" s="2"/>
      <c r="IG22" s="2"/>
      <c r="IH22" s="24">
        <f t="shared" si="58"/>
        <v>0</v>
      </c>
      <c r="II22" s="23"/>
      <c r="IJ22" s="2"/>
      <c r="IK22" s="2"/>
      <c r="IL22" s="24">
        <f t="shared" si="59"/>
        <v>0</v>
      </c>
      <c r="IM22" s="23"/>
      <c r="IN22" s="2"/>
      <c r="IO22" s="2"/>
      <c r="IP22" s="24">
        <f t="shared" si="60"/>
        <v>0</v>
      </c>
      <c r="IQ22" s="23"/>
      <c r="IR22" s="2"/>
      <c r="IS22" s="2"/>
      <c r="IT22" s="24">
        <f t="shared" si="61"/>
        <v>0</v>
      </c>
      <c r="IU22" s="23"/>
      <c r="IV22" s="8">
        <f t="shared" si="62"/>
        <v>0</v>
      </c>
      <c r="IW22" s="2"/>
      <c r="IX22" s="2"/>
      <c r="IY22" s="24">
        <f t="shared" si="63"/>
        <v>0</v>
      </c>
      <c r="IZ22" s="23"/>
      <c r="JA22" s="2"/>
      <c r="JB22" s="2"/>
      <c r="JC22" s="24">
        <f t="shared" si="64"/>
        <v>0</v>
      </c>
      <c r="JD22" s="23"/>
      <c r="JE22" s="2"/>
      <c r="JF22" s="2"/>
      <c r="JG22" s="24">
        <f t="shared" si="65"/>
        <v>0</v>
      </c>
      <c r="JH22" s="23"/>
      <c r="JI22" s="2"/>
      <c r="JJ22" s="2"/>
      <c r="JK22" s="24">
        <f t="shared" si="66"/>
        <v>0</v>
      </c>
      <c r="JL22" s="23"/>
      <c r="JM22" s="2"/>
      <c r="JN22" s="2"/>
      <c r="JO22" s="24">
        <f t="shared" si="67"/>
        <v>0</v>
      </c>
      <c r="JP22" s="23"/>
      <c r="JQ22" s="2"/>
      <c r="JR22" s="2"/>
      <c r="JS22" s="24">
        <f t="shared" si="68"/>
        <v>0</v>
      </c>
      <c r="JT22" s="23"/>
      <c r="JU22" s="8">
        <f t="shared" si="69"/>
        <v>0</v>
      </c>
      <c r="JV22" s="2"/>
      <c r="JW22" s="2"/>
      <c r="JX22" s="24">
        <f t="shared" si="70"/>
        <v>0</v>
      </c>
      <c r="JY22" s="23"/>
      <c r="JZ22" s="2"/>
      <c r="KA22" s="2"/>
      <c r="KB22" s="24">
        <f t="shared" si="71"/>
        <v>0</v>
      </c>
      <c r="KC22" s="23"/>
      <c r="KD22" s="2"/>
      <c r="KE22" s="2"/>
      <c r="KF22" s="24">
        <f t="shared" si="72"/>
        <v>0</v>
      </c>
      <c r="KG22" s="23"/>
      <c r="KH22" s="2"/>
      <c r="KI22" s="2"/>
      <c r="KJ22" s="24">
        <f t="shared" si="73"/>
        <v>0</v>
      </c>
      <c r="KK22" s="23"/>
      <c r="KL22" s="2"/>
      <c r="KM22" s="2"/>
      <c r="KN22" s="24">
        <f t="shared" si="74"/>
        <v>0</v>
      </c>
      <c r="KO22" s="23"/>
      <c r="KP22" s="2"/>
      <c r="KQ22" s="2"/>
      <c r="KR22" s="24">
        <f t="shared" si="75"/>
        <v>0</v>
      </c>
      <c r="KS22" s="23"/>
      <c r="KT22" s="8">
        <f t="shared" si="76"/>
        <v>0</v>
      </c>
      <c r="KU22" s="2"/>
      <c r="KV22" s="2"/>
      <c r="KW22" s="24">
        <f t="shared" si="77"/>
        <v>0</v>
      </c>
      <c r="KX22" s="23"/>
      <c r="KY22" s="8">
        <f t="shared" si="78"/>
        <v>0</v>
      </c>
      <c r="KZ22" s="2"/>
      <c r="LA22" s="2"/>
      <c r="LB22" s="24">
        <f t="shared" si="79"/>
        <v>0</v>
      </c>
      <c r="LC22" s="23"/>
      <c r="LD22" s="2"/>
      <c r="LE22" s="2"/>
      <c r="LF22" s="24">
        <f t="shared" si="80"/>
        <v>0</v>
      </c>
      <c r="LG22" s="23"/>
      <c r="LH22" s="2"/>
      <c r="LI22" s="2"/>
      <c r="LJ22" s="24">
        <f t="shared" si="81"/>
        <v>0</v>
      </c>
      <c r="LK22" s="23"/>
      <c r="LL22" s="8">
        <f t="shared" si="82"/>
        <v>0</v>
      </c>
      <c r="LM22" s="2"/>
      <c r="LN22" s="2"/>
      <c r="LO22" s="24">
        <f t="shared" si="83"/>
        <v>0</v>
      </c>
      <c r="LP22" s="23"/>
      <c r="LQ22" s="2"/>
      <c r="LR22" s="2"/>
      <c r="LS22" s="24">
        <f t="shared" si="84"/>
        <v>0</v>
      </c>
      <c r="LT22" s="23"/>
      <c r="LU22" s="2"/>
      <c r="LV22" s="2"/>
      <c r="LW22" s="24">
        <f t="shared" si="85"/>
        <v>0</v>
      </c>
      <c r="LX22" s="23"/>
      <c r="LY22" s="8">
        <f t="shared" si="86"/>
        <v>0</v>
      </c>
      <c r="LZ22" s="2"/>
      <c r="MA22" s="2"/>
      <c r="MB22" s="24">
        <f t="shared" si="87"/>
        <v>0</v>
      </c>
      <c r="MC22" s="23"/>
      <c r="MD22" s="2"/>
      <c r="ME22" s="2"/>
      <c r="MF22" s="24">
        <f t="shared" si="88"/>
        <v>0</v>
      </c>
      <c r="MG22" s="23"/>
      <c r="MH22" s="2"/>
      <c r="MI22" s="2"/>
      <c r="MJ22" s="24">
        <f t="shared" si="89"/>
        <v>0</v>
      </c>
      <c r="MK22" s="23"/>
      <c r="ML22" s="8">
        <f t="shared" si="90"/>
        <v>0</v>
      </c>
      <c r="MM22" s="2"/>
      <c r="MN22" s="2"/>
      <c r="MO22" s="24">
        <f t="shared" si="91"/>
        <v>0</v>
      </c>
      <c r="MP22" s="23"/>
      <c r="MQ22" s="2"/>
      <c r="MR22" s="2"/>
      <c r="MS22" s="24">
        <f t="shared" si="92"/>
        <v>0</v>
      </c>
      <c r="MT22" s="23"/>
      <c r="MU22" s="2"/>
      <c r="MV22" s="2"/>
      <c r="MW22" s="24">
        <f t="shared" si="93"/>
        <v>0</v>
      </c>
      <c r="MX22" s="23"/>
      <c r="MY22" s="8">
        <f t="shared" si="94"/>
        <v>0</v>
      </c>
      <c r="MZ22" s="2"/>
      <c r="NA22" s="2"/>
      <c r="NB22" s="24">
        <f t="shared" si="95"/>
        <v>0</v>
      </c>
      <c r="NC22" s="23"/>
      <c r="ND22" s="2"/>
      <c r="NE22" s="2"/>
      <c r="NF22" s="24">
        <f t="shared" si="96"/>
        <v>0</v>
      </c>
      <c r="NG22" s="23"/>
      <c r="NH22" s="2"/>
      <c r="NI22" s="2"/>
      <c r="NJ22" s="24">
        <f t="shared" si="97"/>
        <v>0</v>
      </c>
      <c r="NK22" s="23"/>
      <c r="NL22" s="8">
        <f t="shared" si="98"/>
        <v>0</v>
      </c>
      <c r="NM22" s="2"/>
      <c r="NN22" s="2"/>
      <c r="NO22" s="24">
        <f t="shared" si="99"/>
        <v>0</v>
      </c>
      <c r="NP22" s="23"/>
      <c r="NQ22" s="2"/>
      <c r="NR22" s="2"/>
      <c r="NS22" s="24">
        <f t="shared" si="100"/>
        <v>0</v>
      </c>
      <c r="NT22" s="23"/>
      <c r="NU22" s="8">
        <f t="shared" si="101"/>
        <v>0</v>
      </c>
      <c r="NV22" s="2"/>
      <c r="NW22" s="2"/>
      <c r="NX22" s="24">
        <f t="shared" si="102"/>
        <v>0</v>
      </c>
      <c r="NY22" s="23"/>
      <c r="NZ22" s="2"/>
      <c r="OA22" s="2"/>
      <c r="OB22" s="24">
        <f t="shared" si="103"/>
        <v>0</v>
      </c>
      <c r="OC22" s="23"/>
      <c r="OD22" s="8">
        <f t="shared" si="104"/>
        <v>0</v>
      </c>
      <c r="OE22" s="2"/>
      <c r="OF22" s="2"/>
      <c r="OG22" s="24">
        <f t="shared" si="105"/>
        <v>0</v>
      </c>
      <c r="OH22" s="23"/>
      <c r="OI22" s="2"/>
      <c r="OJ22" s="2"/>
      <c r="OK22" s="24">
        <f t="shared" si="106"/>
        <v>0</v>
      </c>
      <c r="OL22" s="23"/>
      <c r="OM22" s="8">
        <f t="shared" si="107"/>
        <v>0</v>
      </c>
      <c r="ON22" s="2"/>
      <c r="OO22" s="2"/>
      <c r="OP22" s="24">
        <f t="shared" si="108"/>
        <v>0</v>
      </c>
      <c r="OQ22" s="23"/>
      <c r="OR22" s="2"/>
      <c r="OS22" s="2"/>
      <c r="OT22" s="24">
        <f t="shared" si="109"/>
        <v>0</v>
      </c>
      <c r="OU22" s="23"/>
      <c r="OV22" s="8">
        <f t="shared" si="110"/>
        <v>0</v>
      </c>
      <c r="OW22" s="2"/>
      <c r="OX22" s="2"/>
      <c r="OY22" s="24">
        <f t="shared" si="111"/>
        <v>0</v>
      </c>
      <c r="OZ22" s="23"/>
      <c r="PA22" s="8">
        <f t="shared" si="112"/>
        <v>0</v>
      </c>
      <c r="PB22" s="2"/>
      <c r="PC22" s="2"/>
      <c r="PD22" s="24">
        <f t="shared" si="113"/>
        <v>0</v>
      </c>
      <c r="PE22" s="23"/>
      <c r="PF22" s="8">
        <f t="shared" si="114"/>
        <v>0</v>
      </c>
      <c r="PG22" s="2"/>
      <c r="PH22" s="2"/>
      <c r="PI22" s="24">
        <f t="shared" si="115"/>
        <v>0</v>
      </c>
      <c r="PJ22" s="23"/>
      <c r="PK22" s="2"/>
      <c r="PL22" s="2"/>
      <c r="PM22" s="24">
        <f t="shared" si="116"/>
        <v>0</v>
      </c>
      <c r="PN22" s="23"/>
      <c r="PO22" s="8">
        <f t="shared" si="117"/>
        <v>0</v>
      </c>
      <c r="PP22" s="2"/>
      <c r="PQ22" s="2"/>
      <c r="PR22" s="24">
        <f t="shared" si="118"/>
        <v>0</v>
      </c>
      <c r="PS22" s="23"/>
      <c r="PT22" s="8">
        <f t="shared" si="119"/>
        <v>0</v>
      </c>
      <c r="PU22" s="2"/>
      <c r="PV22" s="2"/>
      <c r="PW22" s="24">
        <f t="shared" si="120"/>
        <v>0</v>
      </c>
      <c r="PX22" s="23"/>
      <c r="PY22" s="8">
        <f t="shared" si="121"/>
        <v>0</v>
      </c>
      <c r="PZ22" s="2"/>
      <c r="QA22" s="2"/>
      <c r="QB22" s="24">
        <f t="shared" si="122"/>
        <v>0</v>
      </c>
      <c r="QC22" s="23"/>
      <c r="QD22" s="8">
        <f t="shared" si="123"/>
        <v>0</v>
      </c>
      <c r="QE22" s="2"/>
      <c r="QF22" s="2"/>
      <c r="QG22" s="24">
        <f t="shared" si="124"/>
        <v>0</v>
      </c>
      <c r="QH22" s="23"/>
      <c r="QI22" s="8">
        <f t="shared" si="125"/>
        <v>0</v>
      </c>
    </row>
    <row r="23" spans="1:451" ht="14.25" customHeight="1" x14ac:dyDescent="0.3">
      <c r="A23" s="5" t="s">
        <v>22</v>
      </c>
      <c r="B23" s="2">
        <v>3</v>
      </c>
      <c r="C23" s="2">
        <v>0</v>
      </c>
      <c r="D23" s="24">
        <f t="shared" si="0"/>
        <v>4</v>
      </c>
      <c r="E23" s="23"/>
      <c r="F23" s="2">
        <v>2</v>
      </c>
      <c r="G23" s="2">
        <v>1</v>
      </c>
      <c r="H23" s="24">
        <f t="shared" si="1"/>
        <v>5</v>
      </c>
      <c r="I23" s="23"/>
      <c r="J23" s="8">
        <f t="shared" si="2"/>
        <v>9</v>
      </c>
      <c r="K23" s="2">
        <v>2</v>
      </c>
      <c r="L23" s="2">
        <v>0</v>
      </c>
      <c r="M23" s="24">
        <f t="shared" si="3"/>
        <v>0</v>
      </c>
      <c r="N23" s="23"/>
      <c r="O23" s="2">
        <v>0</v>
      </c>
      <c r="P23" s="2">
        <v>1</v>
      </c>
      <c r="Q23" s="24">
        <f t="shared" si="4"/>
        <v>1</v>
      </c>
      <c r="R23" s="23"/>
      <c r="S23" s="8">
        <f t="shared" si="5"/>
        <v>1</v>
      </c>
      <c r="T23" s="2">
        <v>0</v>
      </c>
      <c r="U23" s="2">
        <v>2</v>
      </c>
      <c r="V23" s="24">
        <f t="shared" si="6"/>
        <v>0</v>
      </c>
      <c r="W23" s="23"/>
      <c r="X23" s="2">
        <v>3</v>
      </c>
      <c r="Y23" s="2">
        <v>1</v>
      </c>
      <c r="Z23" s="24">
        <f t="shared" si="7"/>
        <v>1</v>
      </c>
      <c r="AA23" s="23"/>
      <c r="AB23" s="2">
        <v>0</v>
      </c>
      <c r="AC23" s="2">
        <v>2</v>
      </c>
      <c r="AD23" s="24">
        <f t="shared" si="8"/>
        <v>4</v>
      </c>
      <c r="AE23" s="23"/>
      <c r="AF23" s="2">
        <v>1</v>
      </c>
      <c r="AG23" s="2">
        <v>2</v>
      </c>
      <c r="AH23" s="24">
        <f t="shared" si="9"/>
        <v>0</v>
      </c>
      <c r="AI23" s="23"/>
      <c r="AJ23" s="8">
        <f t="shared" si="10"/>
        <v>5</v>
      </c>
      <c r="AK23" s="2">
        <v>5</v>
      </c>
      <c r="AL23" s="2">
        <v>0</v>
      </c>
      <c r="AM23" s="24">
        <f t="shared" si="11"/>
        <v>3</v>
      </c>
      <c r="AN23" s="23"/>
      <c r="AO23" s="2">
        <v>2</v>
      </c>
      <c r="AP23" s="2">
        <v>1</v>
      </c>
      <c r="AQ23" s="24">
        <f t="shared" si="12"/>
        <v>1</v>
      </c>
      <c r="AR23" s="23"/>
      <c r="AS23" s="2">
        <v>1</v>
      </c>
      <c r="AT23" s="2">
        <v>2</v>
      </c>
      <c r="AU23" s="24">
        <f t="shared" si="13"/>
        <v>1</v>
      </c>
      <c r="AV23" s="23"/>
      <c r="AW23" s="2">
        <v>2</v>
      </c>
      <c r="AX23" s="2">
        <v>0</v>
      </c>
      <c r="AY23" s="24">
        <f t="shared" si="14"/>
        <v>3</v>
      </c>
      <c r="AZ23" s="23"/>
      <c r="BA23" s="8">
        <f t="shared" si="15"/>
        <v>8</v>
      </c>
      <c r="BB23" s="2">
        <v>4</v>
      </c>
      <c r="BC23" s="2">
        <v>0</v>
      </c>
      <c r="BD23" s="24">
        <f t="shared" si="16"/>
        <v>1</v>
      </c>
      <c r="BE23" s="23"/>
      <c r="BF23" s="2">
        <v>3</v>
      </c>
      <c r="BG23" s="2">
        <v>1</v>
      </c>
      <c r="BH23" s="24">
        <f t="shared" si="17"/>
        <v>1</v>
      </c>
      <c r="BI23" s="23"/>
      <c r="BJ23" s="2">
        <v>1</v>
      </c>
      <c r="BK23" s="2">
        <v>2</v>
      </c>
      <c r="BL23" s="24">
        <f t="shared" si="18"/>
        <v>1</v>
      </c>
      <c r="BM23" s="23"/>
      <c r="BN23" s="2">
        <v>0</v>
      </c>
      <c r="BO23" s="2">
        <v>1</v>
      </c>
      <c r="BP23" s="24">
        <f t="shared" si="19"/>
        <v>0</v>
      </c>
      <c r="BQ23" s="23"/>
      <c r="BR23" s="8">
        <f t="shared" si="20"/>
        <v>3</v>
      </c>
      <c r="BS23" s="2">
        <v>3</v>
      </c>
      <c r="BT23" s="2">
        <v>0</v>
      </c>
      <c r="BU23" s="24">
        <f t="shared" si="21"/>
        <v>4</v>
      </c>
      <c r="BV23" s="23"/>
      <c r="BW23" s="2">
        <v>1</v>
      </c>
      <c r="BX23" s="2">
        <v>2</v>
      </c>
      <c r="BY23" s="24">
        <f t="shared" si="22"/>
        <v>4</v>
      </c>
      <c r="BZ23" s="23"/>
      <c r="CA23" s="2">
        <v>3</v>
      </c>
      <c r="CB23" s="2">
        <v>0</v>
      </c>
      <c r="CC23" s="24">
        <f t="shared" si="23"/>
        <v>5</v>
      </c>
      <c r="CD23" s="23"/>
      <c r="CE23" s="2">
        <v>3</v>
      </c>
      <c r="CF23" s="2">
        <v>0</v>
      </c>
      <c r="CG23" s="24">
        <f t="shared" si="24"/>
        <v>4</v>
      </c>
      <c r="CH23" s="23"/>
      <c r="CI23" s="8">
        <f t="shared" si="25"/>
        <v>17</v>
      </c>
      <c r="CJ23" s="2">
        <v>3</v>
      </c>
      <c r="CK23" s="2">
        <v>1</v>
      </c>
      <c r="CL23" s="24">
        <f t="shared" si="26"/>
        <v>1</v>
      </c>
      <c r="CM23" s="23"/>
      <c r="CN23" s="2">
        <v>1</v>
      </c>
      <c r="CO23" s="2">
        <v>1</v>
      </c>
      <c r="CP23" s="24">
        <f t="shared" si="27"/>
        <v>0</v>
      </c>
      <c r="CQ23" s="23"/>
      <c r="CR23" s="2">
        <v>2</v>
      </c>
      <c r="CS23" s="2">
        <v>0</v>
      </c>
      <c r="CT23" s="24">
        <f t="shared" si="28"/>
        <v>4</v>
      </c>
      <c r="CU23" s="23"/>
      <c r="CV23" s="2">
        <v>1</v>
      </c>
      <c r="CW23" s="2">
        <v>2</v>
      </c>
      <c r="CX23" s="24">
        <f t="shared" si="29"/>
        <v>4</v>
      </c>
      <c r="CY23" s="23"/>
      <c r="CZ23" s="8">
        <f t="shared" si="30"/>
        <v>9</v>
      </c>
      <c r="DA23" s="2">
        <v>2</v>
      </c>
      <c r="DB23" s="2">
        <v>1</v>
      </c>
      <c r="DC23" s="24">
        <f t="shared" si="126"/>
        <v>1</v>
      </c>
      <c r="DD23" s="23"/>
      <c r="DE23" s="2">
        <v>2</v>
      </c>
      <c r="DF23" s="2">
        <v>1</v>
      </c>
      <c r="DG23" s="24">
        <f t="shared" si="127"/>
        <v>4</v>
      </c>
      <c r="DH23" s="23"/>
      <c r="DI23" s="2">
        <v>2</v>
      </c>
      <c r="DJ23" s="2">
        <v>0</v>
      </c>
      <c r="DK23" s="24">
        <f t="shared" si="128"/>
        <v>4</v>
      </c>
      <c r="DL23" s="23"/>
      <c r="DM23" s="2">
        <v>2</v>
      </c>
      <c r="DN23" s="2">
        <v>1</v>
      </c>
      <c r="DO23" s="24">
        <f t="shared" si="129"/>
        <v>3</v>
      </c>
      <c r="DP23" s="23"/>
      <c r="DQ23" s="8">
        <f t="shared" si="31"/>
        <v>12</v>
      </c>
      <c r="DR23" s="2">
        <v>3</v>
      </c>
      <c r="DS23" s="2">
        <v>1</v>
      </c>
      <c r="DT23" s="24">
        <f t="shared" si="130"/>
        <v>3</v>
      </c>
      <c r="DU23" s="23"/>
      <c r="DV23" s="2">
        <v>1</v>
      </c>
      <c r="DW23" s="2">
        <v>2</v>
      </c>
      <c r="DX23" s="24">
        <f t="shared" si="131"/>
        <v>3</v>
      </c>
      <c r="DY23" s="23"/>
      <c r="DZ23" s="2">
        <v>3</v>
      </c>
      <c r="EA23" s="2">
        <v>0</v>
      </c>
      <c r="EB23" s="24">
        <f t="shared" si="132"/>
        <v>5</v>
      </c>
      <c r="EC23" s="23"/>
      <c r="ED23" s="2">
        <v>1</v>
      </c>
      <c r="EE23" s="2">
        <v>2</v>
      </c>
      <c r="EF23" s="24">
        <f t="shared" si="133"/>
        <v>3</v>
      </c>
      <c r="EG23" s="23"/>
      <c r="EH23" s="8">
        <f t="shared" si="32"/>
        <v>14</v>
      </c>
      <c r="EI23" s="2"/>
      <c r="EJ23" s="2"/>
      <c r="EK23" s="24">
        <f t="shared" si="33"/>
        <v>0</v>
      </c>
      <c r="EL23" s="23"/>
      <c r="EM23" s="2"/>
      <c r="EN23" s="2"/>
      <c r="EO23" s="24">
        <f t="shared" si="34"/>
        <v>0</v>
      </c>
      <c r="EP23" s="23"/>
      <c r="EQ23" s="2"/>
      <c r="ER23" s="2"/>
      <c r="ES23" s="24">
        <f t="shared" si="35"/>
        <v>0</v>
      </c>
      <c r="ET23" s="23"/>
      <c r="EU23" s="2"/>
      <c r="EV23" s="2"/>
      <c r="EW23" s="24">
        <f t="shared" si="36"/>
        <v>0</v>
      </c>
      <c r="EX23" s="23"/>
      <c r="EY23" s="8">
        <f t="shared" si="37"/>
        <v>0</v>
      </c>
      <c r="EZ23" s="21">
        <v>3</v>
      </c>
      <c r="FA23" s="21">
        <v>0</v>
      </c>
      <c r="FB23" s="24"/>
      <c r="FC23" s="23"/>
      <c r="FD23" s="21">
        <v>3</v>
      </c>
      <c r="FE23" s="21">
        <v>0</v>
      </c>
      <c r="FF23" s="24"/>
      <c r="FG23" s="23"/>
      <c r="FH23" s="21">
        <v>2</v>
      </c>
      <c r="FI23" s="21">
        <v>0</v>
      </c>
      <c r="FJ23" s="24"/>
      <c r="FK23" s="23"/>
      <c r="FL23" s="21">
        <v>0</v>
      </c>
      <c r="FM23" s="21">
        <v>2</v>
      </c>
      <c r="FN23" s="24"/>
      <c r="FO23" s="23"/>
      <c r="FP23" s="8">
        <f t="shared" si="38"/>
        <v>0</v>
      </c>
      <c r="FQ23" s="2"/>
      <c r="FR23" s="2"/>
      <c r="FS23" s="24">
        <f t="shared" si="39"/>
        <v>0</v>
      </c>
      <c r="FT23" s="23"/>
      <c r="FU23" s="2"/>
      <c r="FV23" s="2"/>
      <c r="FW23" s="24">
        <f t="shared" si="40"/>
        <v>0</v>
      </c>
      <c r="FX23" s="23"/>
      <c r="FY23" s="2"/>
      <c r="FZ23" s="2"/>
      <c r="GA23" s="24">
        <f t="shared" si="41"/>
        <v>0</v>
      </c>
      <c r="GB23" s="23"/>
      <c r="GC23" s="2"/>
      <c r="GD23" s="2"/>
      <c r="GE23" s="24">
        <f t="shared" si="42"/>
        <v>0</v>
      </c>
      <c r="GF23" s="23"/>
      <c r="GG23" s="8">
        <f t="shared" si="43"/>
        <v>0</v>
      </c>
      <c r="GH23" s="2"/>
      <c r="GI23" s="2"/>
      <c r="GJ23" s="24">
        <f t="shared" si="44"/>
        <v>0</v>
      </c>
      <c r="GK23" s="23"/>
      <c r="GL23" s="2"/>
      <c r="GM23" s="2"/>
      <c r="GN23" s="24">
        <f t="shared" si="45"/>
        <v>0</v>
      </c>
      <c r="GO23" s="23"/>
      <c r="GP23" s="2"/>
      <c r="GQ23" s="2"/>
      <c r="GR23" s="24">
        <f t="shared" si="46"/>
        <v>0</v>
      </c>
      <c r="GS23" s="23"/>
      <c r="GT23" s="2"/>
      <c r="GU23" s="2"/>
      <c r="GV23" s="24">
        <f t="shared" si="47"/>
        <v>0</v>
      </c>
      <c r="GW23" s="23"/>
      <c r="GX23" s="8">
        <f t="shared" si="48"/>
        <v>0</v>
      </c>
      <c r="GY23" s="2"/>
      <c r="GZ23" s="2"/>
      <c r="HA23" s="24">
        <f t="shared" si="49"/>
        <v>0</v>
      </c>
      <c r="HB23" s="23"/>
      <c r="HC23" s="2"/>
      <c r="HD23" s="2"/>
      <c r="HE23" s="24">
        <f t="shared" si="50"/>
        <v>0</v>
      </c>
      <c r="HF23" s="23"/>
      <c r="HG23" s="2"/>
      <c r="HH23" s="2"/>
      <c r="HI23" s="24">
        <f t="shared" si="51"/>
        <v>0</v>
      </c>
      <c r="HJ23" s="23"/>
      <c r="HK23" s="2"/>
      <c r="HL23" s="2"/>
      <c r="HM23" s="24">
        <f t="shared" si="52"/>
        <v>0</v>
      </c>
      <c r="HN23" s="23"/>
      <c r="HO23" s="2"/>
      <c r="HP23" s="2"/>
      <c r="HQ23" s="24">
        <f t="shared" si="53"/>
        <v>0</v>
      </c>
      <c r="HR23" s="23"/>
      <c r="HS23" s="2"/>
      <c r="HT23" s="2"/>
      <c r="HU23" s="24">
        <f t="shared" si="54"/>
        <v>0</v>
      </c>
      <c r="HV23" s="23"/>
      <c r="HW23" s="8">
        <f t="shared" si="55"/>
        <v>0</v>
      </c>
      <c r="HX23" s="2"/>
      <c r="HY23" s="2"/>
      <c r="HZ23" s="24">
        <f t="shared" si="56"/>
        <v>0</v>
      </c>
      <c r="IA23" s="23"/>
      <c r="IB23" s="2"/>
      <c r="IC23" s="2"/>
      <c r="ID23" s="24">
        <f t="shared" si="57"/>
        <v>0</v>
      </c>
      <c r="IE23" s="23"/>
      <c r="IF23" s="2"/>
      <c r="IG23" s="2"/>
      <c r="IH23" s="24">
        <f t="shared" si="58"/>
        <v>0</v>
      </c>
      <c r="II23" s="23"/>
      <c r="IJ23" s="2"/>
      <c r="IK23" s="2"/>
      <c r="IL23" s="24">
        <f t="shared" si="59"/>
        <v>0</v>
      </c>
      <c r="IM23" s="23"/>
      <c r="IN23" s="2"/>
      <c r="IO23" s="2"/>
      <c r="IP23" s="24">
        <f t="shared" si="60"/>
        <v>0</v>
      </c>
      <c r="IQ23" s="23"/>
      <c r="IR23" s="2"/>
      <c r="IS23" s="2"/>
      <c r="IT23" s="24">
        <f t="shared" si="61"/>
        <v>0</v>
      </c>
      <c r="IU23" s="23"/>
      <c r="IV23" s="8">
        <f t="shared" si="62"/>
        <v>0</v>
      </c>
      <c r="IW23" s="2"/>
      <c r="IX23" s="2"/>
      <c r="IY23" s="24">
        <f t="shared" si="63"/>
        <v>0</v>
      </c>
      <c r="IZ23" s="23"/>
      <c r="JA23" s="2"/>
      <c r="JB23" s="2"/>
      <c r="JC23" s="24">
        <f t="shared" si="64"/>
        <v>0</v>
      </c>
      <c r="JD23" s="23"/>
      <c r="JE23" s="2"/>
      <c r="JF23" s="2"/>
      <c r="JG23" s="24">
        <f t="shared" si="65"/>
        <v>0</v>
      </c>
      <c r="JH23" s="23"/>
      <c r="JI23" s="2"/>
      <c r="JJ23" s="2"/>
      <c r="JK23" s="24">
        <f t="shared" si="66"/>
        <v>0</v>
      </c>
      <c r="JL23" s="23"/>
      <c r="JM23" s="2"/>
      <c r="JN23" s="2"/>
      <c r="JO23" s="24">
        <f t="shared" si="67"/>
        <v>0</v>
      </c>
      <c r="JP23" s="23"/>
      <c r="JQ23" s="2"/>
      <c r="JR23" s="2"/>
      <c r="JS23" s="24">
        <f t="shared" si="68"/>
        <v>0</v>
      </c>
      <c r="JT23" s="23"/>
      <c r="JU23" s="8">
        <f t="shared" si="69"/>
        <v>0</v>
      </c>
      <c r="JV23" s="2"/>
      <c r="JW23" s="2"/>
      <c r="JX23" s="24">
        <f t="shared" si="70"/>
        <v>0</v>
      </c>
      <c r="JY23" s="23"/>
      <c r="JZ23" s="2"/>
      <c r="KA23" s="2"/>
      <c r="KB23" s="24">
        <f t="shared" si="71"/>
        <v>0</v>
      </c>
      <c r="KC23" s="23"/>
      <c r="KD23" s="2"/>
      <c r="KE23" s="2"/>
      <c r="KF23" s="24">
        <f t="shared" si="72"/>
        <v>0</v>
      </c>
      <c r="KG23" s="23"/>
      <c r="KH23" s="2"/>
      <c r="KI23" s="2"/>
      <c r="KJ23" s="24">
        <f t="shared" si="73"/>
        <v>0</v>
      </c>
      <c r="KK23" s="23"/>
      <c r="KL23" s="2"/>
      <c r="KM23" s="2"/>
      <c r="KN23" s="24">
        <f t="shared" si="74"/>
        <v>0</v>
      </c>
      <c r="KO23" s="23"/>
      <c r="KP23" s="2"/>
      <c r="KQ23" s="2"/>
      <c r="KR23" s="24">
        <f t="shared" si="75"/>
        <v>0</v>
      </c>
      <c r="KS23" s="23"/>
      <c r="KT23" s="8">
        <f t="shared" si="76"/>
        <v>0</v>
      </c>
      <c r="KU23" s="2"/>
      <c r="KV23" s="2"/>
      <c r="KW23" s="24">
        <f t="shared" si="77"/>
        <v>0</v>
      </c>
      <c r="KX23" s="23"/>
      <c r="KY23" s="8">
        <f t="shared" si="78"/>
        <v>0</v>
      </c>
      <c r="KZ23" s="2"/>
      <c r="LA23" s="2"/>
      <c r="LB23" s="24">
        <f t="shared" si="79"/>
        <v>0</v>
      </c>
      <c r="LC23" s="23"/>
      <c r="LD23" s="2"/>
      <c r="LE23" s="2"/>
      <c r="LF23" s="24">
        <f t="shared" si="80"/>
        <v>0</v>
      </c>
      <c r="LG23" s="23"/>
      <c r="LH23" s="2"/>
      <c r="LI23" s="2"/>
      <c r="LJ23" s="24">
        <f t="shared" si="81"/>
        <v>0</v>
      </c>
      <c r="LK23" s="23"/>
      <c r="LL23" s="8">
        <f t="shared" si="82"/>
        <v>0</v>
      </c>
      <c r="LM23" s="2"/>
      <c r="LN23" s="2"/>
      <c r="LO23" s="24">
        <f t="shared" si="83"/>
        <v>0</v>
      </c>
      <c r="LP23" s="23"/>
      <c r="LQ23" s="2"/>
      <c r="LR23" s="2"/>
      <c r="LS23" s="24">
        <f t="shared" si="84"/>
        <v>0</v>
      </c>
      <c r="LT23" s="23"/>
      <c r="LU23" s="2"/>
      <c r="LV23" s="2"/>
      <c r="LW23" s="24">
        <f t="shared" si="85"/>
        <v>0</v>
      </c>
      <c r="LX23" s="23"/>
      <c r="LY23" s="8">
        <f t="shared" si="86"/>
        <v>0</v>
      </c>
      <c r="LZ23" s="2"/>
      <c r="MA23" s="2"/>
      <c r="MB23" s="24">
        <f t="shared" si="87"/>
        <v>0</v>
      </c>
      <c r="MC23" s="23"/>
      <c r="MD23" s="2"/>
      <c r="ME23" s="2"/>
      <c r="MF23" s="24">
        <f t="shared" si="88"/>
        <v>0</v>
      </c>
      <c r="MG23" s="23"/>
      <c r="MH23" s="2"/>
      <c r="MI23" s="2"/>
      <c r="MJ23" s="24">
        <f t="shared" si="89"/>
        <v>0</v>
      </c>
      <c r="MK23" s="23"/>
      <c r="ML23" s="8">
        <f t="shared" si="90"/>
        <v>0</v>
      </c>
      <c r="MM23" s="2"/>
      <c r="MN23" s="2"/>
      <c r="MO23" s="24">
        <f t="shared" si="91"/>
        <v>0</v>
      </c>
      <c r="MP23" s="23"/>
      <c r="MQ23" s="2"/>
      <c r="MR23" s="2"/>
      <c r="MS23" s="24">
        <f t="shared" si="92"/>
        <v>0</v>
      </c>
      <c r="MT23" s="23"/>
      <c r="MU23" s="2"/>
      <c r="MV23" s="2"/>
      <c r="MW23" s="24">
        <f t="shared" si="93"/>
        <v>0</v>
      </c>
      <c r="MX23" s="23"/>
      <c r="MY23" s="8">
        <f t="shared" si="94"/>
        <v>0</v>
      </c>
      <c r="MZ23" s="2"/>
      <c r="NA23" s="2"/>
      <c r="NB23" s="24">
        <f t="shared" si="95"/>
        <v>0</v>
      </c>
      <c r="NC23" s="23"/>
      <c r="ND23" s="2"/>
      <c r="NE23" s="2"/>
      <c r="NF23" s="24">
        <f t="shared" si="96"/>
        <v>0</v>
      </c>
      <c r="NG23" s="23"/>
      <c r="NH23" s="2"/>
      <c r="NI23" s="2"/>
      <c r="NJ23" s="24">
        <f t="shared" si="97"/>
        <v>0</v>
      </c>
      <c r="NK23" s="23"/>
      <c r="NL23" s="8">
        <f t="shared" si="98"/>
        <v>0</v>
      </c>
      <c r="NM23" s="2"/>
      <c r="NN23" s="2"/>
      <c r="NO23" s="24">
        <f t="shared" si="99"/>
        <v>0</v>
      </c>
      <c r="NP23" s="23"/>
      <c r="NQ23" s="2"/>
      <c r="NR23" s="2"/>
      <c r="NS23" s="24">
        <f t="shared" si="100"/>
        <v>0</v>
      </c>
      <c r="NT23" s="23"/>
      <c r="NU23" s="8">
        <f t="shared" si="101"/>
        <v>0</v>
      </c>
      <c r="NV23" s="2"/>
      <c r="NW23" s="2"/>
      <c r="NX23" s="24">
        <f t="shared" si="102"/>
        <v>0</v>
      </c>
      <c r="NY23" s="23"/>
      <c r="NZ23" s="2"/>
      <c r="OA23" s="2"/>
      <c r="OB23" s="24">
        <f t="shared" si="103"/>
        <v>0</v>
      </c>
      <c r="OC23" s="23"/>
      <c r="OD23" s="8">
        <f t="shared" si="104"/>
        <v>0</v>
      </c>
      <c r="OE23" s="2"/>
      <c r="OF23" s="2"/>
      <c r="OG23" s="24">
        <f t="shared" si="105"/>
        <v>0</v>
      </c>
      <c r="OH23" s="23"/>
      <c r="OI23" s="2"/>
      <c r="OJ23" s="2"/>
      <c r="OK23" s="24">
        <f t="shared" si="106"/>
        <v>0</v>
      </c>
      <c r="OL23" s="23"/>
      <c r="OM23" s="8">
        <f t="shared" si="107"/>
        <v>0</v>
      </c>
      <c r="ON23" s="2"/>
      <c r="OO23" s="2"/>
      <c r="OP23" s="24">
        <f t="shared" si="108"/>
        <v>0</v>
      </c>
      <c r="OQ23" s="23"/>
      <c r="OR23" s="2"/>
      <c r="OS23" s="2"/>
      <c r="OT23" s="24">
        <f t="shared" si="109"/>
        <v>0</v>
      </c>
      <c r="OU23" s="23"/>
      <c r="OV23" s="8">
        <f t="shared" si="110"/>
        <v>0</v>
      </c>
      <c r="OW23" s="2"/>
      <c r="OX23" s="2"/>
      <c r="OY23" s="24">
        <f t="shared" si="111"/>
        <v>0</v>
      </c>
      <c r="OZ23" s="23"/>
      <c r="PA23" s="8">
        <f t="shared" si="112"/>
        <v>0</v>
      </c>
      <c r="PB23" s="2"/>
      <c r="PC23" s="2"/>
      <c r="PD23" s="24">
        <f t="shared" si="113"/>
        <v>0</v>
      </c>
      <c r="PE23" s="23"/>
      <c r="PF23" s="8">
        <f t="shared" si="114"/>
        <v>0</v>
      </c>
      <c r="PG23" s="2"/>
      <c r="PH23" s="2"/>
      <c r="PI23" s="24">
        <f t="shared" si="115"/>
        <v>0</v>
      </c>
      <c r="PJ23" s="23"/>
      <c r="PK23" s="2"/>
      <c r="PL23" s="2"/>
      <c r="PM23" s="24">
        <f t="shared" si="116"/>
        <v>0</v>
      </c>
      <c r="PN23" s="23"/>
      <c r="PO23" s="8">
        <f t="shared" si="117"/>
        <v>0</v>
      </c>
      <c r="PP23" s="2"/>
      <c r="PQ23" s="2"/>
      <c r="PR23" s="24">
        <f t="shared" si="118"/>
        <v>0</v>
      </c>
      <c r="PS23" s="23"/>
      <c r="PT23" s="8">
        <f t="shared" si="119"/>
        <v>0</v>
      </c>
      <c r="PU23" s="2"/>
      <c r="PV23" s="2"/>
      <c r="PW23" s="24">
        <f t="shared" si="120"/>
        <v>0</v>
      </c>
      <c r="PX23" s="23"/>
      <c r="PY23" s="8">
        <f t="shared" si="121"/>
        <v>0</v>
      </c>
      <c r="PZ23" s="2"/>
      <c r="QA23" s="2"/>
      <c r="QB23" s="24">
        <f t="shared" si="122"/>
        <v>0</v>
      </c>
      <c r="QC23" s="23"/>
      <c r="QD23" s="8">
        <f t="shared" si="123"/>
        <v>0</v>
      </c>
      <c r="QE23" s="2"/>
      <c r="QF23" s="2"/>
      <c r="QG23" s="24">
        <f t="shared" si="124"/>
        <v>0</v>
      </c>
      <c r="QH23" s="23"/>
      <c r="QI23" s="8">
        <f t="shared" si="125"/>
        <v>0</v>
      </c>
    </row>
    <row r="24" spans="1:451" ht="14.25" customHeight="1" x14ac:dyDescent="0.3">
      <c r="A24" s="5" t="s">
        <v>23</v>
      </c>
      <c r="B24" s="2">
        <v>1</v>
      </c>
      <c r="C24" s="2">
        <v>0</v>
      </c>
      <c r="D24" s="24">
        <f t="shared" si="0"/>
        <v>4</v>
      </c>
      <c r="E24" s="23"/>
      <c r="F24" s="2">
        <v>2</v>
      </c>
      <c r="G24" s="2">
        <v>1</v>
      </c>
      <c r="H24" s="24">
        <f t="shared" si="1"/>
        <v>5</v>
      </c>
      <c r="I24" s="23"/>
      <c r="J24" s="8">
        <f t="shared" si="2"/>
        <v>9</v>
      </c>
      <c r="K24" s="2">
        <v>1</v>
      </c>
      <c r="L24" s="2">
        <v>1</v>
      </c>
      <c r="M24" s="24">
        <f t="shared" si="3"/>
        <v>5</v>
      </c>
      <c r="N24" s="23"/>
      <c r="O24" s="2">
        <v>0</v>
      </c>
      <c r="P24" s="2">
        <v>0</v>
      </c>
      <c r="Q24" s="24">
        <f t="shared" si="4"/>
        <v>0</v>
      </c>
      <c r="R24" s="23"/>
      <c r="S24" s="8">
        <f t="shared" si="5"/>
        <v>5</v>
      </c>
      <c r="T24" s="2">
        <v>0</v>
      </c>
      <c r="U24" s="2">
        <v>2</v>
      </c>
      <c r="V24" s="24">
        <f t="shared" si="6"/>
        <v>0</v>
      </c>
      <c r="W24" s="23"/>
      <c r="X24" s="2">
        <v>3</v>
      </c>
      <c r="Y24" s="2">
        <v>2</v>
      </c>
      <c r="Z24" s="24">
        <f t="shared" si="7"/>
        <v>0</v>
      </c>
      <c r="AA24" s="23"/>
      <c r="AB24" s="2">
        <v>0</v>
      </c>
      <c r="AC24" s="2">
        <v>3</v>
      </c>
      <c r="AD24" s="24">
        <f t="shared" si="8"/>
        <v>4</v>
      </c>
      <c r="AE24" s="23"/>
      <c r="AF24" s="2">
        <v>0</v>
      </c>
      <c r="AG24" s="2">
        <v>2</v>
      </c>
      <c r="AH24" s="24">
        <f t="shared" si="9"/>
        <v>0</v>
      </c>
      <c r="AI24" s="23"/>
      <c r="AJ24" s="8">
        <f t="shared" si="10"/>
        <v>4</v>
      </c>
      <c r="AK24" s="2">
        <v>6</v>
      </c>
      <c r="AL24" s="2">
        <v>0</v>
      </c>
      <c r="AM24" s="24">
        <f t="shared" si="11"/>
        <v>3</v>
      </c>
      <c r="AN24" s="23"/>
      <c r="AO24" s="2">
        <v>1</v>
      </c>
      <c r="AP24" s="2">
        <v>1</v>
      </c>
      <c r="AQ24" s="24">
        <f t="shared" si="12"/>
        <v>3</v>
      </c>
      <c r="AR24" s="23"/>
      <c r="AS24" s="2">
        <v>2</v>
      </c>
      <c r="AT24" s="2">
        <v>1</v>
      </c>
      <c r="AU24" s="24">
        <f t="shared" si="13"/>
        <v>3</v>
      </c>
      <c r="AV24" s="23"/>
      <c r="AW24" s="2">
        <v>2</v>
      </c>
      <c r="AX24" s="2">
        <v>1</v>
      </c>
      <c r="AY24" s="24">
        <f t="shared" si="14"/>
        <v>4</v>
      </c>
      <c r="AZ24" s="23"/>
      <c r="BA24" s="8">
        <f t="shared" si="15"/>
        <v>13</v>
      </c>
      <c r="BB24" s="2">
        <v>4</v>
      </c>
      <c r="BC24" s="2">
        <v>0</v>
      </c>
      <c r="BD24" s="24">
        <f t="shared" si="16"/>
        <v>1</v>
      </c>
      <c r="BE24" s="23"/>
      <c r="BF24" s="2">
        <v>2</v>
      </c>
      <c r="BG24" s="2">
        <v>1</v>
      </c>
      <c r="BH24" s="24">
        <f t="shared" si="17"/>
        <v>1</v>
      </c>
      <c r="BI24" s="23"/>
      <c r="BJ24" s="2">
        <v>2</v>
      </c>
      <c r="BK24" s="2">
        <v>2</v>
      </c>
      <c r="BL24" s="24">
        <f t="shared" si="18"/>
        <v>3</v>
      </c>
      <c r="BM24" s="23"/>
      <c r="BN24" s="2">
        <v>1</v>
      </c>
      <c r="BO24" s="2">
        <v>0</v>
      </c>
      <c r="BP24" s="24">
        <f t="shared" si="19"/>
        <v>0</v>
      </c>
      <c r="BQ24" s="23"/>
      <c r="BR24" s="8">
        <f t="shared" si="20"/>
        <v>5</v>
      </c>
      <c r="BS24" s="2">
        <v>3</v>
      </c>
      <c r="BT24" s="2">
        <v>1</v>
      </c>
      <c r="BU24" s="24">
        <f t="shared" si="21"/>
        <v>5</v>
      </c>
      <c r="BV24" s="23"/>
      <c r="BW24" s="2">
        <v>1</v>
      </c>
      <c r="BX24" s="2">
        <v>2</v>
      </c>
      <c r="BY24" s="24">
        <f t="shared" si="22"/>
        <v>4</v>
      </c>
      <c r="BZ24" s="23"/>
      <c r="CA24" s="2">
        <v>2</v>
      </c>
      <c r="CB24" s="2">
        <v>0</v>
      </c>
      <c r="CC24" s="24">
        <f t="shared" si="23"/>
        <v>4</v>
      </c>
      <c r="CD24" s="23"/>
      <c r="CE24" s="2">
        <v>1</v>
      </c>
      <c r="CF24" s="2">
        <v>0</v>
      </c>
      <c r="CG24" s="24">
        <f t="shared" si="24"/>
        <v>3</v>
      </c>
      <c r="CH24" s="23"/>
      <c r="CI24" s="8">
        <f t="shared" si="25"/>
        <v>16</v>
      </c>
      <c r="CJ24" s="2">
        <v>3</v>
      </c>
      <c r="CK24" s="2">
        <v>0</v>
      </c>
      <c r="CL24" s="24">
        <f t="shared" si="26"/>
        <v>0</v>
      </c>
      <c r="CM24" s="23"/>
      <c r="CN24" s="2">
        <v>1</v>
      </c>
      <c r="CO24" s="2">
        <v>1</v>
      </c>
      <c r="CP24" s="24">
        <f t="shared" si="27"/>
        <v>0</v>
      </c>
      <c r="CQ24" s="23"/>
      <c r="CR24" s="2">
        <v>3</v>
      </c>
      <c r="CS24" s="2">
        <v>1</v>
      </c>
      <c r="CT24" s="24">
        <f t="shared" si="28"/>
        <v>3</v>
      </c>
      <c r="CU24" s="23"/>
      <c r="CV24" s="2">
        <v>0</v>
      </c>
      <c r="CW24" s="2">
        <v>2</v>
      </c>
      <c r="CX24" s="24">
        <f t="shared" si="29"/>
        <v>3</v>
      </c>
      <c r="CY24" s="23"/>
      <c r="CZ24" s="8">
        <f t="shared" si="30"/>
        <v>6</v>
      </c>
      <c r="DA24" s="2">
        <v>2</v>
      </c>
      <c r="DB24" s="2">
        <v>0</v>
      </c>
      <c r="DC24" s="24">
        <f t="shared" si="126"/>
        <v>0</v>
      </c>
      <c r="DD24" s="23"/>
      <c r="DE24" s="2">
        <v>2</v>
      </c>
      <c r="DF24" s="2">
        <v>1</v>
      </c>
      <c r="DG24" s="24">
        <f t="shared" si="127"/>
        <v>4</v>
      </c>
      <c r="DH24" s="23"/>
      <c r="DI24" s="2">
        <v>2</v>
      </c>
      <c r="DJ24" s="2">
        <v>0</v>
      </c>
      <c r="DK24" s="24">
        <f t="shared" si="128"/>
        <v>4</v>
      </c>
      <c r="DL24" s="23"/>
      <c r="DM24" s="2">
        <v>1</v>
      </c>
      <c r="DN24" s="2">
        <v>1</v>
      </c>
      <c r="DO24" s="24">
        <f t="shared" si="129"/>
        <v>1</v>
      </c>
      <c r="DP24" s="23"/>
      <c r="DQ24" s="8">
        <f t="shared" si="31"/>
        <v>9</v>
      </c>
      <c r="DR24" s="2">
        <v>2</v>
      </c>
      <c r="DS24" s="2">
        <v>0</v>
      </c>
      <c r="DT24" s="24">
        <f t="shared" si="130"/>
        <v>5</v>
      </c>
      <c r="DU24" s="23"/>
      <c r="DV24" s="2">
        <v>1</v>
      </c>
      <c r="DW24" s="2">
        <v>2</v>
      </c>
      <c r="DX24" s="24">
        <f t="shared" si="131"/>
        <v>3</v>
      </c>
      <c r="DY24" s="23"/>
      <c r="DZ24" s="2">
        <v>4</v>
      </c>
      <c r="EA24" s="2">
        <v>0</v>
      </c>
      <c r="EB24" s="24">
        <f t="shared" si="132"/>
        <v>4</v>
      </c>
      <c r="EC24" s="23"/>
      <c r="ED24" s="2">
        <v>1</v>
      </c>
      <c r="EE24" s="2">
        <v>0</v>
      </c>
      <c r="EF24" s="24">
        <f t="shared" si="133"/>
        <v>0</v>
      </c>
      <c r="EG24" s="23"/>
      <c r="EH24" s="8">
        <f t="shared" si="32"/>
        <v>12</v>
      </c>
      <c r="EI24" s="2">
        <v>2</v>
      </c>
      <c r="EJ24" s="2">
        <v>1</v>
      </c>
      <c r="EK24" s="24">
        <f t="shared" si="33"/>
        <v>4</v>
      </c>
      <c r="EL24" s="23"/>
      <c r="EM24" s="2">
        <v>3</v>
      </c>
      <c r="EN24" s="2">
        <v>1</v>
      </c>
      <c r="EO24" s="24">
        <f t="shared" si="34"/>
        <v>4</v>
      </c>
      <c r="EP24" s="23"/>
      <c r="EQ24" s="2">
        <v>4</v>
      </c>
      <c r="ER24" s="2">
        <v>0</v>
      </c>
      <c r="ES24" s="24">
        <f t="shared" si="35"/>
        <v>1</v>
      </c>
      <c r="ET24" s="23"/>
      <c r="EU24" s="2">
        <v>0</v>
      </c>
      <c r="EV24" s="2">
        <v>2</v>
      </c>
      <c r="EW24" s="24">
        <f t="shared" si="36"/>
        <v>4</v>
      </c>
      <c r="EX24" s="23"/>
      <c r="EY24" s="8">
        <f t="shared" si="37"/>
        <v>13</v>
      </c>
      <c r="EZ24" s="2">
        <v>3</v>
      </c>
      <c r="FA24" s="2">
        <v>0</v>
      </c>
      <c r="FB24" s="24"/>
      <c r="FC24" s="23"/>
      <c r="FD24" s="2">
        <v>2</v>
      </c>
      <c r="FE24" s="2">
        <v>0</v>
      </c>
      <c r="FF24" s="24"/>
      <c r="FG24" s="23"/>
      <c r="FH24" s="2">
        <v>2</v>
      </c>
      <c r="FI24" s="2">
        <v>1</v>
      </c>
      <c r="FJ24" s="24"/>
      <c r="FK24" s="23"/>
      <c r="FL24" s="2">
        <v>1</v>
      </c>
      <c r="FM24" s="2">
        <v>3</v>
      </c>
      <c r="FN24" s="24"/>
      <c r="FO24" s="23"/>
      <c r="FP24" s="8">
        <f t="shared" si="38"/>
        <v>0</v>
      </c>
      <c r="FQ24" s="2"/>
      <c r="FR24" s="2"/>
      <c r="FS24" s="24">
        <f t="shared" si="39"/>
        <v>0</v>
      </c>
      <c r="FT24" s="23"/>
      <c r="FU24" s="2"/>
      <c r="FV24" s="2"/>
      <c r="FW24" s="24">
        <f t="shared" si="40"/>
        <v>0</v>
      </c>
      <c r="FX24" s="23"/>
      <c r="FY24" s="2"/>
      <c r="FZ24" s="2"/>
      <c r="GA24" s="24">
        <f t="shared" si="41"/>
        <v>0</v>
      </c>
      <c r="GB24" s="23"/>
      <c r="GC24" s="2"/>
      <c r="GD24" s="2"/>
      <c r="GE24" s="24">
        <f t="shared" si="42"/>
        <v>0</v>
      </c>
      <c r="GF24" s="23"/>
      <c r="GG24" s="8">
        <f t="shared" si="43"/>
        <v>0</v>
      </c>
      <c r="GH24" s="2"/>
      <c r="GI24" s="2"/>
      <c r="GJ24" s="24">
        <f t="shared" si="44"/>
        <v>0</v>
      </c>
      <c r="GK24" s="23"/>
      <c r="GL24" s="2"/>
      <c r="GM24" s="2"/>
      <c r="GN24" s="24">
        <f t="shared" si="45"/>
        <v>0</v>
      </c>
      <c r="GO24" s="23"/>
      <c r="GP24" s="2"/>
      <c r="GQ24" s="2"/>
      <c r="GR24" s="24">
        <f t="shared" si="46"/>
        <v>0</v>
      </c>
      <c r="GS24" s="23"/>
      <c r="GT24" s="2"/>
      <c r="GU24" s="2"/>
      <c r="GV24" s="24">
        <f t="shared" si="47"/>
        <v>0</v>
      </c>
      <c r="GW24" s="23"/>
      <c r="GX24" s="8">
        <f t="shared" si="48"/>
        <v>0</v>
      </c>
      <c r="GY24" s="2"/>
      <c r="GZ24" s="2"/>
      <c r="HA24" s="24">
        <f t="shared" si="49"/>
        <v>0</v>
      </c>
      <c r="HB24" s="23"/>
      <c r="HC24" s="2"/>
      <c r="HD24" s="2"/>
      <c r="HE24" s="24">
        <f t="shared" si="50"/>
        <v>0</v>
      </c>
      <c r="HF24" s="23"/>
      <c r="HG24" s="2"/>
      <c r="HH24" s="2"/>
      <c r="HI24" s="24">
        <f t="shared" si="51"/>
        <v>0</v>
      </c>
      <c r="HJ24" s="23"/>
      <c r="HK24" s="2"/>
      <c r="HL24" s="2"/>
      <c r="HM24" s="24">
        <f t="shared" si="52"/>
        <v>0</v>
      </c>
      <c r="HN24" s="23"/>
      <c r="HO24" s="2"/>
      <c r="HP24" s="2"/>
      <c r="HQ24" s="24">
        <f t="shared" si="53"/>
        <v>0</v>
      </c>
      <c r="HR24" s="23"/>
      <c r="HS24" s="2"/>
      <c r="HT24" s="2"/>
      <c r="HU24" s="24">
        <f t="shared" si="54"/>
        <v>0</v>
      </c>
      <c r="HV24" s="23"/>
      <c r="HW24" s="8">
        <f t="shared" si="55"/>
        <v>0</v>
      </c>
      <c r="HX24" s="2"/>
      <c r="HY24" s="2"/>
      <c r="HZ24" s="24">
        <f t="shared" si="56"/>
        <v>0</v>
      </c>
      <c r="IA24" s="23"/>
      <c r="IB24" s="2"/>
      <c r="IC24" s="2"/>
      <c r="ID24" s="24">
        <f t="shared" si="57"/>
        <v>0</v>
      </c>
      <c r="IE24" s="23"/>
      <c r="IF24" s="2"/>
      <c r="IG24" s="2"/>
      <c r="IH24" s="24">
        <f t="shared" si="58"/>
        <v>0</v>
      </c>
      <c r="II24" s="23"/>
      <c r="IJ24" s="2"/>
      <c r="IK24" s="2"/>
      <c r="IL24" s="24">
        <f t="shared" si="59"/>
        <v>0</v>
      </c>
      <c r="IM24" s="23"/>
      <c r="IN24" s="2"/>
      <c r="IO24" s="2"/>
      <c r="IP24" s="24">
        <f t="shared" si="60"/>
        <v>0</v>
      </c>
      <c r="IQ24" s="23"/>
      <c r="IR24" s="2"/>
      <c r="IS24" s="2"/>
      <c r="IT24" s="24">
        <f t="shared" si="61"/>
        <v>0</v>
      </c>
      <c r="IU24" s="23"/>
      <c r="IV24" s="8">
        <f t="shared" si="62"/>
        <v>0</v>
      </c>
      <c r="IW24" s="2"/>
      <c r="IX24" s="2"/>
      <c r="IY24" s="24">
        <f t="shared" si="63"/>
        <v>0</v>
      </c>
      <c r="IZ24" s="23"/>
      <c r="JA24" s="2"/>
      <c r="JB24" s="2"/>
      <c r="JC24" s="24">
        <f t="shared" si="64"/>
        <v>0</v>
      </c>
      <c r="JD24" s="23"/>
      <c r="JE24" s="2"/>
      <c r="JF24" s="2"/>
      <c r="JG24" s="24">
        <f t="shared" si="65"/>
        <v>0</v>
      </c>
      <c r="JH24" s="23"/>
      <c r="JI24" s="2"/>
      <c r="JJ24" s="2"/>
      <c r="JK24" s="24">
        <f t="shared" si="66"/>
        <v>0</v>
      </c>
      <c r="JL24" s="23"/>
      <c r="JM24" s="2"/>
      <c r="JN24" s="2"/>
      <c r="JO24" s="24">
        <f t="shared" si="67"/>
        <v>0</v>
      </c>
      <c r="JP24" s="23"/>
      <c r="JQ24" s="2"/>
      <c r="JR24" s="2"/>
      <c r="JS24" s="24">
        <f t="shared" si="68"/>
        <v>0</v>
      </c>
      <c r="JT24" s="23"/>
      <c r="JU24" s="8">
        <f t="shared" si="69"/>
        <v>0</v>
      </c>
      <c r="JV24" s="2"/>
      <c r="JW24" s="2"/>
      <c r="JX24" s="24">
        <f t="shared" si="70"/>
        <v>0</v>
      </c>
      <c r="JY24" s="23"/>
      <c r="JZ24" s="2"/>
      <c r="KA24" s="2"/>
      <c r="KB24" s="24">
        <f t="shared" si="71"/>
        <v>0</v>
      </c>
      <c r="KC24" s="23"/>
      <c r="KD24" s="2"/>
      <c r="KE24" s="2"/>
      <c r="KF24" s="24">
        <f t="shared" si="72"/>
        <v>0</v>
      </c>
      <c r="KG24" s="23"/>
      <c r="KH24" s="2"/>
      <c r="KI24" s="2"/>
      <c r="KJ24" s="24">
        <f t="shared" si="73"/>
        <v>0</v>
      </c>
      <c r="KK24" s="23"/>
      <c r="KL24" s="2"/>
      <c r="KM24" s="2"/>
      <c r="KN24" s="24">
        <f t="shared" si="74"/>
        <v>0</v>
      </c>
      <c r="KO24" s="23"/>
      <c r="KP24" s="2"/>
      <c r="KQ24" s="2"/>
      <c r="KR24" s="24">
        <f t="shared" si="75"/>
        <v>0</v>
      </c>
      <c r="KS24" s="23"/>
      <c r="KT24" s="8">
        <f t="shared" si="76"/>
        <v>0</v>
      </c>
      <c r="KU24" s="2"/>
      <c r="KV24" s="2"/>
      <c r="KW24" s="24">
        <f t="shared" si="77"/>
        <v>0</v>
      </c>
      <c r="KX24" s="23"/>
      <c r="KY24" s="8">
        <f t="shared" si="78"/>
        <v>0</v>
      </c>
      <c r="KZ24" s="2"/>
      <c r="LA24" s="2"/>
      <c r="LB24" s="24">
        <f t="shared" si="79"/>
        <v>0</v>
      </c>
      <c r="LC24" s="23"/>
      <c r="LD24" s="2"/>
      <c r="LE24" s="2"/>
      <c r="LF24" s="24">
        <f t="shared" si="80"/>
        <v>0</v>
      </c>
      <c r="LG24" s="23"/>
      <c r="LH24" s="2"/>
      <c r="LI24" s="2"/>
      <c r="LJ24" s="24">
        <f t="shared" si="81"/>
        <v>0</v>
      </c>
      <c r="LK24" s="23"/>
      <c r="LL24" s="8">
        <f t="shared" si="82"/>
        <v>0</v>
      </c>
      <c r="LM24" s="2"/>
      <c r="LN24" s="2"/>
      <c r="LO24" s="24">
        <f t="shared" si="83"/>
        <v>0</v>
      </c>
      <c r="LP24" s="23"/>
      <c r="LQ24" s="2"/>
      <c r="LR24" s="2"/>
      <c r="LS24" s="24">
        <f t="shared" si="84"/>
        <v>0</v>
      </c>
      <c r="LT24" s="23"/>
      <c r="LU24" s="2"/>
      <c r="LV24" s="2"/>
      <c r="LW24" s="24">
        <f t="shared" si="85"/>
        <v>0</v>
      </c>
      <c r="LX24" s="23"/>
      <c r="LY24" s="8">
        <f t="shared" si="86"/>
        <v>0</v>
      </c>
      <c r="LZ24" s="2"/>
      <c r="MA24" s="2"/>
      <c r="MB24" s="24">
        <f t="shared" si="87"/>
        <v>0</v>
      </c>
      <c r="MC24" s="23"/>
      <c r="MD24" s="2"/>
      <c r="ME24" s="2"/>
      <c r="MF24" s="24">
        <f t="shared" si="88"/>
        <v>0</v>
      </c>
      <c r="MG24" s="23"/>
      <c r="MH24" s="2"/>
      <c r="MI24" s="2"/>
      <c r="MJ24" s="24">
        <f t="shared" si="89"/>
        <v>0</v>
      </c>
      <c r="MK24" s="23"/>
      <c r="ML24" s="8">
        <f t="shared" si="90"/>
        <v>0</v>
      </c>
      <c r="MM24" s="2"/>
      <c r="MN24" s="2"/>
      <c r="MO24" s="24">
        <f t="shared" si="91"/>
        <v>0</v>
      </c>
      <c r="MP24" s="23"/>
      <c r="MQ24" s="2"/>
      <c r="MR24" s="2"/>
      <c r="MS24" s="24">
        <f t="shared" si="92"/>
        <v>0</v>
      </c>
      <c r="MT24" s="23"/>
      <c r="MU24" s="2"/>
      <c r="MV24" s="2"/>
      <c r="MW24" s="24">
        <f t="shared" si="93"/>
        <v>0</v>
      </c>
      <c r="MX24" s="23"/>
      <c r="MY24" s="8">
        <f t="shared" si="94"/>
        <v>0</v>
      </c>
      <c r="MZ24" s="2"/>
      <c r="NA24" s="2"/>
      <c r="NB24" s="24">
        <f t="shared" si="95"/>
        <v>0</v>
      </c>
      <c r="NC24" s="23"/>
      <c r="ND24" s="2"/>
      <c r="NE24" s="2"/>
      <c r="NF24" s="24">
        <f t="shared" si="96"/>
        <v>0</v>
      </c>
      <c r="NG24" s="23"/>
      <c r="NH24" s="2"/>
      <c r="NI24" s="2"/>
      <c r="NJ24" s="24">
        <f t="shared" si="97"/>
        <v>0</v>
      </c>
      <c r="NK24" s="23"/>
      <c r="NL24" s="8">
        <f t="shared" si="98"/>
        <v>0</v>
      </c>
      <c r="NM24" s="2"/>
      <c r="NN24" s="2"/>
      <c r="NO24" s="24">
        <f t="shared" si="99"/>
        <v>0</v>
      </c>
      <c r="NP24" s="23"/>
      <c r="NQ24" s="2"/>
      <c r="NR24" s="2"/>
      <c r="NS24" s="24">
        <f t="shared" si="100"/>
        <v>0</v>
      </c>
      <c r="NT24" s="23"/>
      <c r="NU24" s="8">
        <f t="shared" si="101"/>
        <v>0</v>
      </c>
      <c r="NV24" s="2"/>
      <c r="NW24" s="2"/>
      <c r="NX24" s="24">
        <f t="shared" si="102"/>
        <v>0</v>
      </c>
      <c r="NY24" s="23"/>
      <c r="NZ24" s="2"/>
      <c r="OA24" s="2"/>
      <c r="OB24" s="24">
        <f t="shared" si="103"/>
        <v>0</v>
      </c>
      <c r="OC24" s="23"/>
      <c r="OD24" s="8">
        <f t="shared" si="104"/>
        <v>0</v>
      </c>
      <c r="OE24" s="2"/>
      <c r="OF24" s="2"/>
      <c r="OG24" s="24">
        <f t="shared" si="105"/>
        <v>0</v>
      </c>
      <c r="OH24" s="23"/>
      <c r="OI24" s="2"/>
      <c r="OJ24" s="2"/>
      <c r="OK24" s="24">
        <f t="shared" si="106"/>
        <v>0</v>
      </c>
      <c r="OL24" s="23"/>
      <c r="OM24" s="8">
        <f t="shared" si="107"/>
        <v>0</v>
      </c>
      <c r="ON24" s="2"/>
      <c r="OO24" s="2"/>
      <c r="OP24" s="24">
        <f t="shared" si="108"/>
        <v>0</v>
      </c>
      <c r="OQ24" s="23"/>
      <c r="OR24" s="2"/>
      <c r="OS24" s="2"/>
      <c r="OT24" s="24">
        <f t="shared" si="109"/>
        <v>0</v>
      </c>
      <c r="OU24" s="23"/>
      <c r="OV24" s="8">
        <f t="shared" si="110"/>
        <v>0</v>
      </c>
      <c r="OW24" s="2"/>
      <c r="OX24" s="2"/>
      <c r="OY24" s="24">
        <f t="shared" si="111"/>
        <v>0</v>
      </c>
      <c r="OZ24" s="23"/>
      <c r="PA24" s="8">
        <f t="shared" si="112"/>
        <v>0</v>
      </c>
      <c r="PB24" s="2"/>
      <c r="PC24" s="2"/>
      <c r="PD24" s="24">
        <f t="shared" si="113"/>
        <v>0</v>
      </c>
      <c r="PE24" s="23"/>
      <c r="PF24" s="8">
        <f t="shared" si="114"/>
        <v>0</v>
      </c>
      <c r="PG24" s="2"/>
      <c r="PH24" s="2"/>
      <c r="PI24" s="24">
        <f t="shared" si="115"/>
        <v>0</v>
      </c>
      <c r="PJ24" s="23"/>
      <c r="PK24" s="2"/>
      <c r="PL24" s="2"/>
      <c r="PM24" s="24">
        <f t="shared" si="116"/>
        <v>0</v>
      </c>
      <c r="PN24" s="23"/>
      <c r="PO24" s="8">
        <f t="shared" si="117"/>
        <v>0</v>
      </c>
      <c r="PP24" s="2"/>
      <c r="PQ24" s="2"/>
      <c r="PR24" s="24">
        <f t="shared" si="118"/>
        <v>0</v>
      </c>
      <c r="PS24" s="23"/>
      <c r="PT24" s="8">
        <f t="shared" si="119"/>
        <v>0</v>
      </c>
      <c r="PU24" s="2"/>
      <c r="PV24" s="2"/>
      <c r="PW24" s="24">
        <f t="shared" si="120"/>
        <v>0</v>
      </c>
      <c r="PX24" s="23"/>
      <c r="PY24" s="8">
        <f t="shared" si="121"/>
        <v>0</v>
      </c>
      <c r="PZ24" s="2"/>
      <c r="QA24" s="2"/>
      <c r="QB24" s="24">
        <f t="shared" si="122"/>
        <v>0</v>
      </c>
      <c r="QC24" s="23"/>
      <c r="QD24" s="8">
        <f t="shared" si="123"/>
        <v>0</v>
      </c>
      <c r="QE24" s="2"/>
      <c r="QF24" s="2"/>
      <c r="QG24" s="24">
        <f t="shared" si="124"/>
        <v>0</v>
      </c>
      <c r="QH24" s="23"/>
      <c r="QI24" s="8">
        <f t="shared" si="125"/>
        <v>0</v>
      </c>
    </row>
    <row r="25" spans="1:451" ht="14.25" customHeight="1" x14ac:dyDescent="0.3">
      <c r="A25" s="5" t="s">
        <v>24</v>
      </c>
      <c r="B25" s="2">
        <v>1</v>
      </c>
      <c r="C25" s="2">
        <v>0</v>
      </c>
      <c r="D25" s="24">
        <f t="shared" si="0"/>
        <v>4</v>
      </c>
      <c r="E25" s="23"/>
      <c r="F25" s="2">
        <v>2</v>
      </c>
      <c r="G25" s="2">
        <v>1</v>
      </c>
      <c r="H25" s="24">
        <f t="shared" si="1"/>
        <v>5</v>
      </c>
      <c r="I25" s="23"/>
      <c r="J25" s="8">
        <f t="shared" si="2"/>
        <v>9</v>
      </c>
      <c r="K25" s="2">
        <v>2</v>
      </c>
      <c r="L25" s="2">
        <v>0</v>
      </c>
      <c r="M25" s="24">
        <f t="shared" si="3"/>
        <v>0</v>
      </c>
      <c r="N25" s="23"/>
      <c r="O25" s="2">
        <v>1</v>
      </c>
      <c r="P25" s="2">
        <v>2</v>
      </c>
      <c r="Q25" s="24">
        <f t="shared" si="4"/>
        <v>0</v>
      </c>
      <c r="R25" s="23"/>
      <c r="S25" s="8">
        <f t="shared" si="5"/>
        <v>0</v>
      </c>
      <c r="T25" s="2">
        <v>0</v>
      </c>
      <c r="U25" s="2">
        <v>4</v>
      </c>
      <c r="V25" s="24">
        <f t="shared" si="6"/>
        <v>0</v>
      </c>
      <c r="W25" s="23"/>
      <c r="X25" s="2">
        <v>2</v>
      </c>
      <c r="Y25" s="2">
        <v>1</v>
      </c>
      <c r="Z25" s="24">
        <f t="shared" si="7"/>
        <v>1</v>
      </c>
      <c r="AA25" s="23"/>
      <c r="AB25" s="2">
        <v>0</v>
      </c>
      <c r="AC25" s="2">
        <v>3</v>
      </c>
      <c r="AD25" s="24">
        <f t="shared" si="8"/>
        <v>4</v>
      </c>
      <c r="AE25" s="23"/>
      <c r="AF25" s="2">
        <v>1</v>
      </c>
      <c r="AG25" s="2">
        <v>3</v>
      </c>
      <c r="AH25" s="24">
        <f t="shared" si="9"/>
        <v>0</v>
      </c>
      <c r="AI25" s="23"/>
      <c r="AJ25" s="8">
        <f t="shared" si="10"/>
        <v>5</v>
      </c>
      <c r="AK25" s="2">
        <v>6</v>
      </c>
      <c r="AL25" s="2">
        <v>0</v>
      </c>
      <c r="AM25" s="24">
        <f t="shared" si="11"/>
        <v>3</v>
      </c>
      <c r="AN25" s="23"/>
      <c r="AO25" s="2">
        <v>3</v>
      </c>
      <c r="AP25" s="2">
        <v>1</v>
      </c>
      <c r="AQ25" s="24">
        <f t="shared" si="12"/>
        <v>0</v>
      </c>
      <c r="AR25" s="23"/>
      <c r="AS25" s="2">
        <v>1</v>
      </c>
      <c r="AT25" s="2">
        <v>2</v>
      </c>
      <c r="AU25" s="24">
        <f t="shared" si="13"/>
        <v>1</v>
      </c>
      <c r="AV25" s="23"/>
      <c r="AW25" s="2">
        <v>3</v>
      </c>
      <c r="AX25" s="2">
        <v>0</v>
      </c>
      <c r="AY25" s="24">
        <f t="shared" si="14"/>
        <v>3</v>
      </c>
      <c r="AZ25" s="23"/>
      <c r="BA25" s="8">
        <f t="shared" si="15"/>
        <v>7</v>
      </c>
      <c r="BB25" s="2">
        <v>7</v>
      </c>
      <c r="BC25" s="2">
        <v>0</v>
      </c>
      <c r="BD25" s="24">
        <f t="shared" si="16"/>
        <v>1</v>
      </c>
      <c r="BE25" s="23"/>
      <c r="BF25" s="2">
        <v>3</v>
      </c>
      <c r="BG25" s="2">
        <v>1</v>
      </c>
      <c r="BH25" s="24">
        <f t="shared" si="17"/>
        <v>1</v>
      </c>
      <c r="BI25" s="23"/>
      <c r="BJ25" s="2">
        <v>0</v>
      </c>
      <c r="BK25" s="2">
        <v>3</v>
      </c>
      <c r="BL25" s="24">
        <f t="shared" si="18"/>
        <v>0</v>
      </c>
      <c r="BM25" s="23"/>
      <c r="BN25" s="2">
        <v>2</v>
      </c>
      <c r="BO25" s="2">
        <v>1</v>
      </c>
      <c r="BP25" s="24">
        <f t="shared" si="19"/>
        <v>1</v>
      </c>
      <c r="BQ25" s="23"/>
      <c r="BR25" s="8">
        <f t="shared" si="20"/>
        <v>3</v>
      </c>
      <c r="BS25" s="2">
        <v>3</v>
      </c>
      <c r="BT25" s="2">
        <v>1</v>
      </c>
      <c r="BU25" s="24">
        <f t="shared" si="21"/>
        <v>5</v>
      </c>
      <c r="BV25" s="23"/>
      <c r="BW25" s="2">
        <v>1</v>
      </c>
      <c r="BX25" s="2">
        <v>3</v>
      </c>
      <c r="BY25" s="24">
        <f t="shared" si="22"/>
        <v>4</v>
      </c>
      <c r="BZ25" s="23"/>
      <c r="CA25" s="2">
        <v>3</v>
      </c>
      <c r="CB25" s="2">
        <v>1</v>
      </c>
      <c r="CC25" s="24">
        <f t="shared" si="23"/>
        <v>4</v>
      </c>
      <c r="CD25" s="23"/>
      <c r="CE25" s="2">
        <v>2</v>
      </c>
      <c r="CF25" s="2">
        <v>0</v>
      </c>
      <c r="CG25" s="24">
        <f t="shared" si="24"/>
        <v>3</v>
      </c>
      <c r="CH25" s="23"/>
      <c r="CI25" s="8">
        <f t="shared" si="25"/>
        <v>16</v>
      </c>
      <c r="CJ25" s="2">
        <v>4</v>
      </c>
      <c r="CK25" s="2">
        <v>0</v>
      </c>
      <c r="CL25" s="24">
        <f t="shared" si="26"/>
        <v>0</v>
      </c>
      <c r="CM25" s="23"/>
      <c r="CN25" s="2">
        <v>1</v>
      </c>
      <c r="CO25" s="2">
        <v>1</v>
      </c>
      <c r="CP25" s="24">
        <f t="shared" si="27"/>
        <v>0</v>
      </c>
      <c r="CQ25" s="23"/>
      <c r="CR25" s="2">
        <v>3</v>
      </c>
      <c r="CS25" s="2">
        <v>0</v>
      </c>
      <c r="CT25" s="24">
        <f t="shared" si="28"/>
        <v>4</v>
      </c>
      <c r="CU25" s="23"/>
      <c r="CV25" s="2">
        <v>1</v>
      </c>
      <c r="CW25" s="2">
        <v>3</v>
      </c>
      <c r="CX25" s="24">
        <f t="shared" si="29"/>
        <v>5</v>
      </c>
      <c r="CY25" s="23"/>
      <c r="CZ25" s="8">
        <f t="shared" si="30"/>
        <v>9</v>
      </c>
      <c r="DA25" s="2">
        <v>2</v>
      </c>
      <c r="DB25" s="2">
        <v>0</v>
      </c>
      <c r="DC25" s="24">
        <f t="shared" si="126"/>
        <v>0</v>
      </c>
      <c r="DD25" s="23"/>
      <c r="DE25" s="2">
        <v>2</v>
      </c>
      <c r="DF25" s="2">
        <v>0</v>
      </c>
      <c r="DG25" s="24">
        <f t="shared" si="127"/>
        <v>3</v>
      </c>
      <c r="DH25" s="23"/>
      <c r="DI25" s="2">
        <v>2</v>
      </c>
      <c r="DJ25" s="2">
        <v>0</v>
      </c>
      <c r="DK25" s="24">
        <f t="shared" si="128"/>
        <v>4</v>
      </c>
      <c r="DL25" s="23"/>
      <c r="DM25" s="2">
        <v>2</v>
      </c>
      <c r="DN25" s="2">
        <v>1</v>
      </c>
      <c r="DO25" s="24">
        <f t="shared" si="129"/>
        <v>3</v>
      </c>
      <c r="DP25" s="23"/>
      <c r="DQ25" s="8">
        <f t="shared" si="31"/>
        <v>10</v>
      </c>
      <c r="DR25" s="2">
        <v>2</v>
      </c>
      <c r="DS25" s="2">
        <v>1</v>
      </c>
      <c r="DT25" s="24">
        <f t="shared" si="130"/>
        <v>4</v>
      </c>
      <c r="DU25" s="23"/>
      <c r="DV25" s="2">
        <v>1</v>
      </c>
      <c r="DW25" s="2">
        <v>2</v>
      </c>
      <c r="DX25" s="24">
        <f t="shared" si="131"/>
        <v>3</v>
      </c>
      <c r="DY25" s="23"/>
      <c r="DZ25" s="2">
        <v>4</v>
      </c>
      <c r="EA25" s="2">
        <v>0</v>
      </c>
      <c r="EB25" s="24">
        <f t="shared" si="132"/>
        <v>4</v>
      </c>
      <c r="EC25" s="23"/>
      <c r="ED25" s="2">
        <v>1</v>
      </c>
      <c r="EE25" s="2">
        <v>2</v>
      </c>
      <c r="EF25" s="24">
        <f t="shared" si="133"/>
        <v>3</v>
      </c>
      <c r="EG25" s="23"/>
      <c r="EH25" s="8">
        <f t="shared" si="32"/>
        <v>14</v>
      </c>
      <c r="EI25" s="2">
        <v>2</v>
      </c>
      <c r="EJ25" s="2">
        <v>1</v>
      </c>
      <c r="EK25" s="24">
        <f t="shared" si="33"/>
        <v>4</v>
      </c>
      <c r="EL25" s="23"/>
      <c r="EM25" s="2">
        <v>3</v>
      </c>
      <c r="EN25" s="2">
        <v>1</v>
      </c>
      <c r="EO25" s="24">
        <f t="shared" si="34"/>
        <v>4</v>
      </c>
      <c r="EP25" s="23"/>
      <c r="EQ25" s="2">
        <v>5</v>
      </c>
      <c r="ER25" s="2">
        <v>0</v>
      </c>
      <c r="ES25" s="24">
        <f t="shared" si="35"/>
        <v>1</v>
      </c>
      <c r="ET25" s="23"/>
      <c r="EU25" s="2">
        <v>1</v>
      </c>
      <c r="EV25" s="2">
        <v>3</v>
      </c>
      <c r="EW25" s="24">
        <f t="shared" si="36"/>
        <v>3</v>
      </c>
      <c r="EX25" s="23"/>
      <c r="EY25" s="8">
        <f t="shared" si="37"/>
        <v>12</v>
      </c>
      <c r="EZ25" s="2">
        <v>4</v>
      </c>
      <c r="FA25" s="2">
        <v>0</v>
      </c>
      <c r="FB25" s="24"/>
      <c r="FC25" s="23"/>
      <c r="FD25" s="2">
        <v>3</v>
      </c>
      <c r="FE25" s="2">
        <v>0</v>
      </c>
      <c r="FF25" s="24"/>
      <c r="FG25" s="23"/>
      <c r="FH25" s="2">
        <v>4</v>
      </c>
      <c r="FI25" s="2">
        <v>0</v>
      </c>
      <c r="FJ25" s="24"/>
      <c r="FK25" s="23"/>
      <c r="FL25" s="2">
        <v>1</v>
      </c>
      <c r="FM25" s="2">
        <v>3</v>
      </c>
      <c r="FN25" s="24"/>
      <c r="FO25" s="23"/>
      <c r="FP25" s="8">
        <f t="shared" si="38"/>
        <v>0</v>
      </c>
      <c r="FQ25" s="2"/>
      <c r="FR25" s="2"/>
      <c r="FS25" s="24">
        <f t="shared" si="39"/>
        <v>0</v>
      </c>
      <c r="FT25" s="23"/>
      <c r="FU25" s="2"/>
      <c r="FV25" s="2"/>
      <c r="FW25" s="24">
        <f t="shared" si="40"/>
        <v>0</v>
      </c>
      <c r="FX25" s="23"/>
      <c r="FY25" s="2"/>
      <c r="FZ25" s="2"/>
      <c r="GA25" s="24">
        <f t="shared" si="41"/>
        <v>0</v>
      </c>
      <c r="GB25" s="23"/>
      <c r="GC25" s="2"/>
      <c r="GD25" s="2"/>
      <c r="GE25" s="24">
        <f t="shared" si="42"/>
        <v>0</v>
      </c>
      <c r="GF25" s="23"/>
      <c r="GG25" s="8">
        <f t="shared" si="43"/>
        <v>0</v>
      </c>
      <c r="GH25" s="2"/>
      <c r="GI25" s="2"/>
      <c r="GJ25" s="24">
        <f t="shared" si="44"/>
        <v>0</v>
      </c>
      <c r="GK25" s="23"/>
      <c r="GL25" s="2"/>
      <c r="GM25" s="2"/>
      <c r="GN25" s="24">
        <f t="shared" si="45"/>
        <v>0</v>
      </c>
      <c r="GO25" s="23"/>
      <c r="GP25" s="2"/>
      <c r="GQ25" s="2"/>
      <c r="GR25" s="24">
        <f t="shared" si="46"/>
        <v>0</v>
      </c>
      <c r="GS25" s="23"/>
      <c r="GT25" s="2"/>
      <c r="GU25" s="2"/>
      <c r="GV25" s="24">
        <f t="shared" si="47"/>
        <v>0</v>
      </c>
      <c r="GW25" s="23"/>
      <c r="GX25" s="8">
        <f t="shared" si="48"/>
        <v>0</v>
      </c>
      <c r="GY25" s="2"/>
      <c r="GZ25" s="2"/>
      <c r="HA25" s="24">
        <f t="shared" si="49"/>
        <v>0</v>
      </c>
      <c r="HB25" s="23"/>
      <c r="HC25" s="2"/>
      <c r="HD25" s="2"/>
      <c r="HE25" s="24">
        <f t="shared" si="50"/>
        <v>0</v>
      </c>
      <c r="HF25" s="23"/>
      <c r="HG25" s="2"/>
      <c r="HH25" s="2"/>
      <c r="HI25" s="24">
        <f t="shared" si="51"/>
        <v>0</v>
      </c>
      <c r="HJ25" s="23"/>
      <c r="HK25" s="2"/>
      <c r="HL25" s="2"/>
      <c r="HM25" s="24">
        <f t="shared" si="52"/>
        <v>0</v>
      </c>
      <c r="HN25" s="23"/>
      <c r="HO25" s="2"/>
      <c r="HP25" s="2"/>
      <c r="HQ25" s="24">
        <f t="shared" si="53"/>
        <v>0</v>
      </c>
      <c r="HR25" s="23"/>
      <c r="HS25" s="2"/>
      <c r="HT25" s="2"/>
      <c r="HU25" s="24">
        <f t="shared" si="54"/>
        <v>0</v>
      </c>
      <c r="HV25" s="23"/>
      <c r="HW25" s="8">
        <f t="shared" si="55"/>
        <v>0</v>
      </c>
      <c r="HX25" s="2"/>
      <c r="HY25" s="2"/>
      <c r="HZ25" s="24">
        <f t="shared" si="56"/>
        <v>0</v>
      </c>
      <c r="IA25" s="23"/>
      <c r="IB25" s="2"/>
      <c r="IC25" s="2"/>
      <c r="ID25" s="24">
        <f t="shared" si="57"/>
        <v>0</v>
      </c>
      <c r="IE25" s="23"/>
      <c r="IF25" s="2"/>
      <c r="IG25" s="2"/>
      <c r="IH25" s="24">
        <f t="shared" si="58"/>
        <v>0</v>
      </c>
      <c r="II25" s="23"/>
      <c r="IJ25" s="2"/>
      <c r="IK25" s="2"/>
      <c r="IL25" s="24">
        <f t="shared" si="59"/>
        <v>0</v>
      </c>
      <c r="IM25" s="23"/>
      <c r="IN25" s="2"/>
      <c r="IO25" s="2"/>
      <c r="IP25" s="24">
        <f t="shared" si="60"/>
        <v>0</v>
      </c>
      <c r="IQ25" s="23"/>
      <c r="IR25" s="2"/>
      <c r="IS25" s="2"/>
      <c r="IT25" s="24">
        <f t="shared" si="61"/>
        <v>0</v>
      </c>
      <c r="IU25" s="23"/>
      <c r="IV25" s="8">
        <f t="shared" si="62"/>
        <v>0</v>
      </c>
      <c r="IW25" s="2"/>
      <c r="IX25" s="2"/>
      <c r="IY25" s="24">
        <f t="shared" si="63"/>
        <v>0</v>
      </c>
      <c r="IZ25" s="23"/>
      <c r="JA25" s="2"/>
      <c r="JB25" s="2"/>
      <c r="JC25" s="24">
        <f t="shared" si="64"/>
        <v>0</v>
      </c>
      <c r="JD25" s="23"/>
      <c r="JE25" s="2"/>
      <c r="JF25" s="2"/>
      <c r="JG25" s="24">
        <f t="shared" si="65"/>
        <v>0</v>
      </c>
      <c r="JH25" s="23"/>
      <c r="JI25" s="2"/>
      <c r="JJ25" s="2"/>
      <c r="JK25" s="24">
        <f t="shared" si="66"/>
        <v>0</v>
      </c>
      <c r="JL25" s="23"/>
      <c r="JM25" s="2"/>
      <c r="JN25" s="2"/>
      <c r="JO25" s="24">
        <f t="shared" si="67"/>
        <v>0</v>
      </c>
      <c r="JP25" s="23"/>
      <c r="JQ25" s="2"/>
      <c r="JR25" s="2"/>
      <c r="JS25" s="24">
        <f t="shared" si="68"/>
        <v>0</v>
      </c>
      <c r="JT25" s="23"/>
      <c r="JU25" s="8">
        <f t="shared" si="69"/>
        <v>0</v>
      </c>
      <c r="JV25" s="2"/>
      <c r="JW25" s="2"/>
      <c r="JX25" s="24">
        <f t="shared" si="70"/>
        <v>0</v>
      </c>
      <c r="JY25" s="23"/>
      <c r="JZ25" s="2"/>
      <c r="KA25" s="2"/>
      <c r="KB25" s="24">
        <f t="shared" si="71"/>
        <v>0</v>
      </c>
      <c r="KC25" s="23"/>
      <c r="KD25" s="2"/>
      <c r="KE25" s="2"/>
      <c r="KF25" s="24">
        <f t="shared" si="72"/>
        <v>0</v>
      </c>
      <c r="KG25" s="23"/>
      <c r="KH25" s="2"/>
      <c r="KI25" s="2"/>
      <c r="KJ25" s="24">
        <f t="shared" si="73"/>
        <v>0</v>
      </c>
      <c r="KK25" s="23"/>
      <c r="KL25" s="2"/>
      <c r="KM25" s="2"/>
      <c r="KN25" s="24">
        <f t="shared" si="74"/>
        <v>0</v>
      </c>
      <c r="KO25" s="23"/>
      <c r="KP25" s="2"/>
      <c r="KQ25" s="2"/>
      <c r="KR25" s="24">
        <f t="shared" si="75"/>
        <v>0</v>
      </c>
      <c r="KS25" s="23"/>
      <c r="KT25" s="8">
        <f t="shared" si="76"/>
        <v>0</v>
      </c>
      <c r="KU25" s="2"/>
      <c r="KV25" s="2"/>
      <c r="KW25" s="24">
        <f t="shared" si="77"/>
        <v>0</v>
      </c>
      <c r="KX25" s="23"/>
      <c r="KY25" s="8">
        <f t="shared" si="78"/>
        <v>0</v>
      </c>
      <c r="KZ25" s="2"/>
      <c r="LA25" s="2"/>
      <c r="LB25" s="24">
        <f t="shared" si="79"/>
        <v>0</v>
      </c>
      <c r="LC25" s="23"/>
      <c r="LD25" s="2"/>
      <c r="LE25" s="2"/>
      <c r="LF25" s="24">
        <f t="shared" si="80"/>
        <v>0</v>
      </c>
      <c r="LG25" s="23"/>
      <c r="LH25" s="2"/>
      <c r="LI25" s="2"/>
      <c r="LJ25" s="24">
        <f t="shared" si="81"/>
        <v>0</v>
      </c>
      <c r="LK25" s="23"/>
      <c r="LL25" s="8">
        <f t="shared" si="82"/>
        <v>0</v>
      </c>
      <c r="LM25" s="2"/>
      <c r="LN25" s="2"/>
      <c r="LO25" s="24">
        <f t="shared" si="83"/>
        <v>0</v>
      </c>
      <c r="LP25" s="23"/>
      <c r="LQ25" s="2"/>
      <c r="LR25" s="2"/>
      <c r="LS25" s="24">
        <f t="shared" si="84"/>
        <v>0</v>
      </c>
      <c r="LT25" s="23"/>
      <c r="LU25" s="2"/>
      <c r="LV25" s="2"/>
      <c r="LW25" s="24">
        <f t="shared" si="85"/>
        <v>0</v>
      </c>
      <c r="LX25" s="23"/>
      <c r="LY25" s="8">
        <f t="shared" si="86"/>
        <v>0</v>
      </c>
      <c r="LZ25" s="2"/>
      <c r="MA25" s="2"/>
      <c r="MB25" s="24">
        <f t="shared" si="87"/>
        <v>0</v>
      </c>
      <c r="MC25" s="23"/>
      <c r="MD25" s="2"/>
      <c r="ME25" s="2"/>
      <c r="MF25" s="24">
        <f t="shared" si="88"/>
        <v>0</v>
      </c>
      <c r="MG25" s="23"/>
      <c r="MH25" s="2"/>
      <c r="MI25" s="2"/>
      <c r="MJ25" s="24">
        <f t="shared" si="89"/>
        <v>0</v>
      </c>
      <c r="MK25" s="23"/>
      <c r="ML25" s="8">
        <f t="shared" si="90"/>
        <v>0</v>
      </c>
      <c r="MM25" s="2"/>
      <c r="MN25" s="2"/>
      <c r="MO25" s="24">
        <f t="shared" si="91"/>
        <v>0</v>
      </c>
      <c r="MP25" s="23"/>
      <c r="MQ25" s="2"/>
      <c r="MR25" s="2"/>
      <c r="MS25" s="24">
        <f t="shared" si="92"/>
        <v>0</v>
      </c>
      <c r="MT25" s="23"/>
      <c r="MU25" s="2"/>
      <c r="MV25" s="2"/>
      <c r="MW25" s="24">
        <f t="shared" si="93"/>
        <v>0</v>
      </c>
      <c r="MX25" s="23"/>
      <c r="MY25" s="8">
        <f t="shared" si="94"/>
        <v>0</v>
      </c>
      <c r="MZ25" s="2"/>
      <c r="NA25" s="2"/>
      <c r="NB25" s="24">
        <f t="shared" si="95"/>
        <v>0</v>
      </c>
      <c r="NC25" s="23"/>
      <c r="ND25" s="2"/>
      <c r="NE25" s="2"/>
      <c r="NF25" s="24">
        <f t="shared" si="96"/>
        <v>0</v>
      </c>
      <c r="NG25" s="23"/>
      <c r="NH25" s="2"/>
      <c r="NI25" s="2"/>
      <c r="NJ25" s="24">
        <f t="shared" si="97"/>
        <v>0</v>
      </c>
      <c r="NK25" s="23"/>
      <c r="NL25" s="8">
        <f t="shared" si="98"/>
        <v>0</v>
      </c>
      <c r="NM25" s="2"/>
      <c r="NN25" s="2"/>
      <c r="NO25" s="24">
        <f t="shared" si="99"/>
        <v>0</v>
      </c>
      <c r="NP25" s="23"/>
      <c r="NQ25" s="2"/>
      <c r="NR25" s="2"/>
      <c r="NS25" s="24">
        <f t="shared" si="100"/>
        <v>0</v>
      </c>
      <c r="NT25" s="23"/>
      <c r="NU25" s="8">
        <f t="shared" si="101"/>
        <v>0</v>
      </c>
      <c r="NV25" s="2"/>
      <c r="NW25" s="2"/>
      <c r="NX25" s="24">
        <f t="shared" si="102"/>
        <v>0</v>
      </c>
      <c r="NY25" s="23"/>
      <c r="NZ25" s="2"/>
      <c r="OA25" s="2"/>
      <c r="OB25" s="24">
        <f t="shared" si="103"/>
        <v>0</v>
      </c>
      <c r="OC25" s="23"/>
      <c r="OD25" s="8">
        <f t="shared" si="104"/>
        <v>0</v>
      </c>
      <c r="OE25" s="2"/>
      <c r="OF25" s="2"/>
      <c r="OG25" s="24">
        <f t="shared" si="105"/>
        <v>0</v>
      </c>
      <c r="OH25" s="23"/>
      <c r="OI25" s="2"/>
      <c r="OJ25" s="2"/>
      <c r="OK25" s="24">
        <f t="shared" si="106"/>
        <v>0</v>
      </c>
      <c r="OL25" s="23"/>
      <c r="OM25" s="8">
        <f t="shared" si="107"/>
        <v>0</v>
      </c>
      <c r="ON25" s="2"/>
      <c r="OO25" s="2"/>
      <c r="OP25" s="24">
        <f t="shared" si="108"/>
        <v>0</v>
      </c>
      <c r="OQ25" s="23"/>
      <c r="OR25" s="2"/>
      <c r="OS25" s="2"/>
      <c r="OT25" s="24">
        <f t="shared" si="109"/>
        <v>0</v>
      </c>
      <c r="OU25" s="23"/>
      <c r="OV25" s="8">
        <f t="shared" si="110"/>
        <v>0</v>
      </c>
      <c r="OW25" s="2"/>
      <c r="OX25" s="2"/>
      <c r="OY25" s="24">
        <f t="shared" si="111"/>
        <v>0</v>
      </c>
      <c r="OZ25" s="23"/>
      <c r="PA25" s="8">
        <f t="shared" si="112"/>
        <v>0</v>
      </c>
      <c r="PB25" s="2"/>
      <c r="PC25" s="2"/>
      <c r="PD25" s="24">
        <f t="shared" si="113"/>
        <v>0</v>
      </c>
      <c r="PE25" s="23"/>
      <c r="PF25" s="8">
        <f t="shared" si="114"/>
        <v>0</v>
      </c>
      <c r="PG25" s="2"/>
      <c r="PH25" s="2"/>
      <c r="PI25" s="24">
        <f t="shared" si="115"/>
        <v>0</v>
      </c>
      <c r="PJ25" s="23"/>
      <c r="PK25" s="2"/>
      <c r="PL25" s="2"/>
      <c r="PM25" s="24">
        <f t="shared" si="116"/>
        <v>0</v>
      </c>
      <c r="PN25" s="23"/>
      <c r="PO25" s="8">
        <f t="shared" si="117"/>
        <v>0</v>
      </c>
      <c r="PP25" s="2"/>
      <c r="PQ25" s="2"/>
      <c r="PR25" s="24">
        <f t="shared" si="118"/>
        <v>0</v>
      </c>
      <c r="PS25" s="23"/>
      <c r="PT25" s="8">
        <f t="shared" si="119"/>
        <v>0</v>
      </c>
      <c r="PU25" s="2"/>
      <c r="PV25" s="2"/>
      <c r="PW25" s="24">
        <f t="shared" si="120"/>
        <v>0</v>
      </c>
      <c r="PX25" s="23"/>
      <c r="PY25" s="8">
        <f t="shared" si="121"/>
        <v>0</v>
      </c>
      <c r="PZ25" s="2"/>
      <c r="QA25" s="2"/>
      <c r="QB25" s="24">
        <f t="shared" si="122"/>
        <v>0</v>
      </c>
      <c r="QC25" s="23"/>
      <c r="QD25" s="8">
        <f t="shared" si="123"/>
        <v>0</v>
      </c>
      <c r="QE25" s="2"/>
      <c r="QF25" s="2"/>
      <c r="QG25" s="24">
        <f t="shared" si="124"/>
        <v>0</v>
      </c>
      <c r="QH25" s="23"/>
      <c r="QI25" s="8">
        <f t="shared" si="125"/>
        <v>0</v>
      </c>
    </row>
    <row r="26" spans="1:451" ht="14.25" customHeight="1" x14ac:dyDescent="0.3">
      <c r="A26" s="5" t="s">
        <v>25</v>
      </c>
      <c r="B26" s="2">
        <v>2</v>
      </c>
      <c r="C26" s="2">
        <v>1</v>
      </c>
      <c r="D26" s="24">
        <f t="shared" si="0"/>
        <v>4</v>
      </c>
      <c r="E26" s="23"/>
      <c r="F26" s="2">
        <v>1</v>
      </c>
      <c r="G26" s="2">
        <v>1</v>
      </c>
      <c r="H26" s="24">
        <f t="shared" si="1"/>
        <v>1</v>
      </c>
      <c r="I26" s="23"/>
      <c r="J26" s="8">
        <f t="shared" si="2"/>
        <v>5</v>
      </c>
      <c r="K26" s="2">
        <v>2</v>
      </c>
      <c r="L26" s="2">
        <v>1</v>
      </c>
      <c r="M26" s="24">
        <f t="shared" si="3"/>
        <v>1</v>
      </c>
      <c r="N26" s="23"/>
      <c r="O26" s="2">
        <v>2</v>
      </c>
      <c r="P26" s="2">
        <v>1</v>
      </c>
      <c r="Q26" s="24">
        <f t="shared" si="4"/>
        <v>4</v>
      </c>
      <c r="R26" s="23"/>
      <c r="S26" s="8">
        <f t="shared" si="5"/>
        <v>5</v>
      </c>
      <c r="T26" s="2">
        <v>0</v>
      </c>
      <c r="U26" s="2">
        <v>2</v>
      </c>
      <c r="V26" s="24">
        <f t="shared" si="6"/>
        <v>0</v>
      </c>
      <c r="W26" s="23"/>
      <c r="X26" s="2">
        <v>2</v>
      </c>
      <c r="Y26" s="2">
        <v>1</v>
      </c>
      <c r="Z26" s="24">
        <f t="shared" si="7"/>
        <v>1</v>
      </c>
      <c r="AA26" s="23"/>
      <c r="AB26" s="2">
        <v>0</v>
      </c>
      <c r="AC26" s="2">
        <v>2</v>
      </c>
      <c r="AD26" s="24">
        <f t="shared" si="8"/>
        <v>4</v>
      </c>
      <c r="AE26" s="23"/>
      <c r="AF26" s="2">
        <v>1</v>
      </c>
      <c r="AG26" s="2">
        <v>1</v>
      </c>
      <c r="AH26" s="24">
        <f t="shared" si="9"/>
        <v>0</v>
      </c>
      <c r="AI26" s="23"/>
      <c r="AJ26" s="8">
        <f t="shared" si="10"/>
        <v>5</v>
      </c>
      <c r="AK26" s="2">
        <v>3</v>
      </c>
      <c r="AL26" s="2">
        <v>0</v>
      </c>
      <c r="AM26" s="24">
        <f t="shared" si="11"/>
        <v>3</v>
      </c>
      <c r="AN26" s="23"/>
      <c r="AO26" s="2">
        <v>1</v>
      </c>
      <c r="AP26" s="2">
        <v>1</v>
      </c>
      <c r="AQ26" s="24">
        <f t="shared" si="12"/>
        <v>3</v>
      </c>
      <c r="AR26" s="23"/>
      <c r="AS26" s="2">
        <v>1</v>
      </c>
      <c r="AT26" s="2">
        <v>1</v>
      </c>
      <c r="AU26" s="24">
        <f t="shared" si="13"/>
        <v>1</v>
      </c>
      <c r="AV26" s="23"/>
      <c r="AW26" s="2">
        <v>1</v>
      </c>
      <c r="AX26" s="2">
        <v>0</v>
      </c>
      <c r="AY26" s="24">
        <f t="shared" si="14"/>
        <v>3</v>
      </c>
      <c r="AZ26" s="23"/>
      <c r="BA26" s="8">
        <f t="shared" si="15"/>
        <v>10</v>
      </c>
      <c r="BB26" s="2">
        <v>3</v>
      </c>
      <c r="BC26" s="2">
        <v>0</v>
      </c>
      <c r="BD26" s="24">
        <f t="shared" si="16"/>
        <v>1</v>
      </c>
      <c r="BE26" s="23"/>
      <c r="BF26" s="2">
        <v>2</v>
      </c>
      <c r="BG26" s="2">
        <v>1</v>
      </c>
      <c r="BH26" s="24">
        <f t="shared" si="17"/>
        <v>1</v>
      </c>
      <c r="BI26" s="23"/>
      <c r="BJ26" s="2">
        <v>0</v>
      </c>
      <c r="BK26" s="2">
        <v>1</v>
      </c>
      <c r="BL26" s="24">
        <f t="shared" si="18"/>
        <v>1</v>
      </c>
      <c r="BM26" s="23"/>
      <c r="BN26" s="2">
        <v>1</v>
      </c>
      <c r="BO26" s="2">
        <v>0</v>
      </c>
      <c r="BP26" s="24">
        <f t="shared" si="19"/>
        <v>0</v>
      </c>
      <c r="BQ26" s="23"/>
      <c r="BR26" s="8">
        <f t="shared" si="20"/>
        <v>3</v>
      </c>
      <c r="BS26" s="2">
        <v>1</v>
      </c>
      <c r="BT26" s="2">
        <v>1</v>
      </c>
      <c r="BU26" s="24">
        <f t="shared" si="21"/>
        <v>1</v>
      </c>
      <c r="BV26" s="23"/>
      <c r="BW26" s="2">
        <v>0</v>
      </c>
      <c r="BX26" s="2">
        <v>2</v>
      </c>
      <c r="BY26" s="24">
        <f t="shared" si="22"/>
        <v>3</v>
      </c>
      <c r="BZ26" s="23"/>
      <c r="CA26" s="2">
        <v>1</v>
      </c>
      <c r="CB26" s="2">
        <v>1</v>
      </c>
      <c r="CC26" s="24">
        <f t="shared" si="23"/>
        <v>0</v>
      </c>
      <c r="CD26" s="23"/>
      <c r="CE26" s="2">
        <v>2</v>
      </c>
      <c r="CF26" s="2">
        <v>1</v>
      </c>
      <c r="CG26" s="24">
        <f t="shared" si="24"/>
        <v>4</v>
      </c>
      <c r="CH26" s="23"/>
      <c r="CI26" s="8">
        <f t="shared" si="25"/>
        <v>8</v>
      </c>
      <c r="CJ26" s="2">
        <v>2</v>
      </c>
      <c r="CK26" s="2">
        <v>0</v>
      </c>
      <c r="CL26" s="24">
        <f t="shared" si="26"/>
        <v>0</v>
      </c>
      <c r="CM26" s="23"/>
      <c r="CN26" s="2">
        <v>1</v>
      </c>
      <c r="CO26" s="2">
        <v>1</v>
      </c>
      <c r="CP26" s="24">
        <f t="shared" si="27"/>
        <v>0</v>
      </c>
      <c r="CQ26" s="23"/>
      <c r="CR26" s="2">
        <v>2</v>
      </c>
      <c r="CS26" s="2">
        <v>1</v>
      </c>
      <c r="CT26" s="24">
        <f t="shared" si="28"/>
        <v>3</v>
      </c>
      <c r="CU26" s="23"/>
      <c r="CV26" s="2">
        <v>1</v>
      </c>
      <c r="CW26" s="2">
        <v>2</v>
      </c>
      <c r="CX26" s="24">
        <f t="shared" si="29"/>
        <v>4</v>
      </c>
      <c r="CY26" s="23"/>
      <c r="CZ26" s="8">
        <f t="shared" si="30"/>
        <v>7</v>
      </c>
      <c r="DA26" s="2">
        <v>2</v>
      </c>
      <c r="DB26" s="2">
        <v>0</v>
      </c>
      <c r="DC26" s="24">
        <f t="shared" si="126"/>
        <v>0</v>
      </c>
      <c r="DD26" s="23"/>
      <c r="DE26" s="2">
        <v>1</v>
      </c>
      <c r="DF26" s="2">
        <v>0</v>
      </c>
      <c r="DG26" s="24">
        <f t="shared" si="127"/>
        <v>3</v>
      </c>
      <c r="DH26" s="23"/>
      <c r="DI26" s="2">
        <v>2</v>
      </c>
      <c r="DJ26" s="2">
        <v>0</v>
      </c>
      <c r="DK26" s="24">
        <f t="shared" si="128"/>
        <v>4</v>
      </c>
      <c r="DL26" s="23"/>
      <c r="DM26" s="2">
        <v>1</v>
      </c>
      <c r="DN26" s="2">
        <v>1</v>
      </c>
      <c r="DO26" s="24">
        <f t="shared" si="129"/>
        <v>1</v>
      </c>
      <c r="DP26" s="23"/>
      <c r="DQ26" s="8">
        <f t="shared" si="31"/>
        <v>8</v>
      </c>
      <c r="DR26" s="2">
        <v>2</v>
      </c>
      <c r="DS26" s="2">
        <v>0</v>
      </c>
      <c r="DT26" s="24">
        <f t="shared" si="130"/>
        <v>5</v>
      </c>
      <c r="DU26" s="23"/>
      <c r="DV26" s="2">
        <v>1</v>
      </c>
      <c r="DW26" s="2">
        <v>2</v>
      </c>
      <c r="DX26" s="24">
        <f t="shared" si="131"/>
        <v>3</v>
      </c>
      <c r="DY26" s="23"/>
      <c r="DZ26" s="2">
        <v>4</v>
      </c>
      <c r="EA26" s="2">
        <v>0</v>
      </c>
      <c r="EB26" s="24">
        <f t="shared" si="132"/>
        <v>4</v>
      </c>
      <c r="EC26" s="23"/>
      <c r="ED26" s="2">
        <v>1</v>
      </c>
      <c r="EE26" s="2">
        <v>2</v>
      </c>
      <c r="EF26" s="24">
        <f t="shared" si="133"/>
        <v>3</v>
      </c>
      <c r="EG26" s="23"/>
      <c r="EH26" s="8">
        <f t="shared" si="32"/>
        <v>15</v>
      </c>
      <c r="EI26" s="2">
        <v>1</v>
      </c>
      <c r="EJ26" s="2">
        <v>0</v>
      </c>
      <c r="EK26" s="24">
        <f t="shared" si="33"/>
        <v>3</v>
      </c>
      <c r="EL26" s="23"/>
      <c r="EM26" s="2">
        <v>2</v>
      </c>
      <c r="EN26" s="2">
        <v>0</v>
      </c>
      <c r="EO26" s="24">
        <f t="shared" si="34"/>
        <v>4</v>
      </c>
      <c r="EP26" s="23"/>
      <c r="EQ26" s="2">
        <v>3</v>
      </c>
      <c r="ER26" s="2">
        <v>1</v>
      </c>
      <c r="ES26" s="24">
        <f t="shared" si="35"/>
        <v>0</v>
      </c>
      <c r="ET26" s="23"/>
      <c r="EU26" s="2">
        <v>1</v>
      </c>
      <c r="EV26" s="2">
        <v>2</v>
      </c>
      <c r="EW26" s="24">
        <f t="shared" si="36"/>
        <v>3</v>
      </c>
      <c r="EX26" s="23"/>
      <c r="EY26" s="8">
        <f t="shared" si="37"/>
        <v>10</v>
      </c>
      <c r="EZ26" s="2">
        <v>2</v>
      </c>
      <c r="FA26" s="2">
        <v>0</v>
      </c>
      <c r="FB26" s="24"/>
      <c r="FC26" s="23"/>
      <c r="FD26" s="2">
        <v>2</v>
      </c>
      <c r="FE26" s="2">
        <v>0</v>
      </c>
      <c r="FF26" s="24"/>
      <c r="FG26" s="23"/>
      <c r="FH26" s="2">
        <v>2</v>
      </c>
      <c r="FI26" s="2">
        <v>1</v>
      </c>
      <c r="FJ26" s="24"/>
      <c r="FK26" s="23"/>
      <c r="FL26" s="2">
        <v>1</v>
      </c>
      <c r="FM26" s="2">
        <v>2</v>
      </c>
      <c r="FN26" s="24"/>
      <c r="FO26" s="23"/>
      <c r="FP26" s="8">
        <f t="shared" si="38"/>
        <v>0</v>
      </c>
      <c r="FQ26" s="2"/>
      <c r="FR26" s="2"/>
      <c r="FS26" s="24">
        <f t="shared" si="39"/>
        <v>0</v>
      </c>
      <c r="FT26" s="23"/>
      <c r="FU26" s="2"/>
      <c r="FV26" s="2"/>
      <c r="FW26" s="24">
        <f t="shared" si="40"/>
        <v>0</v>
      </c>
      <c r="FX26" s="23"/>
      <c r="FY26" s="2"/>
      <c r="FZ26" s="2"/>
      <c r="GA26" s="24">
        <f t="shared" si="41"/>
        <v>0</v>
      </c>
      <c r="GB26" s="23"/>
      <c r="GC26" s="2"/>
      <c r="GD26" s="2"/>
      <c r="GE26" s="24">
        <f t="shared" si="42"/>
        <v>0</v>
      </c>
      <c r="GF26" s="23"/>
      <c r="GG26" s="8">
        <f t="shared" si="43"/>
        <v>0</v>
      </c>
      <c r="GH26" s="2"/>
      <c r="GI26" s="2"/>
      <c r="GJ26" s="24">
        <f t="shared" si="44"/>
        <v>0</v>
      </c>
      <c r="GK26" s="23"/>
      <c r="GL26" s="2"/>
      <c r="GM26" s="2"/>
      <c r="GN26" s="24">
        <f t="shared" si="45"/>
        <v>0</v>
      </c>
      <c r="GO26" s="23"/>
      <c r="GP26" s="2"/>
      <c r="GQ26" s="2"/>
      <c r="GR26" s="24">
        <f t="shared" si="46"/>
        <v>0</v>
      </c>
      <c r="GS26" s="23"/>
      <c r="GT26" s="2"/>
      <c r="GU26" s="2"/>
      <c r="GV26" s="24">
        <f t="shared" si="47"/>
        <v>0</v>
      </c>
      <c r="GW26" s="23"/>
      <c r="GX26" s="8">
        <f t="shared" si="48"/>
        <v>0</v>
      </c>
      <c r="GY26" s="2"/>
      <c r="GZ26" s="2"/>
      <c r="HA26" s="24">
        <f t="shared" si="49"/>
        <v>0</v>
      </c>
      <c r="HB26" s="23"/>
      <c r="HC26" s="2"/>
      <c r="HD26" s="2"/>
      <c r="HE26" s="24">
        <f t="shared" si="50"/>
        <v>0</v>
      </c>
      <c r="HF26" s="23"/>
      <c r="HG26" s="2"/>
      <c r="HH26" s="2"/>
      <c r="HI26" s="24">
        <f t="shared" si="51"/>
        <v>0</v>
      </c>
      <c r="HJ26" s="23"/>
      <c r="HK26" s="2"/>
      <c r="HL26" s="2"/>
      <c r="HM26" s="24">
        <f t="shared" si="52"/>
        <v>0</v>
      </c>
      <c r="HN26" s="23"/>
      <c r="HO26" s="2"/>
      <c r="HP26" s="2"/>
      <c r="HQ26" s="24">
        <f t="shared" si="53"/>
        <v>0</v>
      </c>
      <c r="HR26" s="23"/>
      <c r="HS26" s="2"/>
      <c r="HT26" s="2"/>
      <c r="HU26" s="24">
        <f t="shared" si="54"/>
        <v>0</v>
      </c>
      <c r="HV26" s="23"/>
      <c r="HW26" s="8">
        <f t="shared" si="55"/>
        <v>0</v>
      </c>
      <c r="HX26" s="2"/>
      <c r="HY26" s="2"/>
      <c r="HZ26" s="24">
        <f t="shared" si="56"/>
        <v>0</v>
      </c>
      <c r="IA26" s="23"/>
      <c r="IB26" s="2"/>
      <c r="IC26" s="2"/>
      <c r="ID26" s="24">
        <f t="shared" si="57"/>
        <v>0</v>
      </c>
      <c r="IE26" s="23"/>
      <c r="IF26" s="2"/>
      <c r="IG26" s="2"/>
      <c r="IH26" s="24">
        <f t="shared" si="58"/>
        <v>0</v>
      </c>
      <c r="II26" s="23"/>
      <c r="IJ26" s="2"/>
      <c r="IK26" s="2"/>
      <c r="IL26" s="24">
        <f t="shared" si="59"/>
        <v>0</v>
      </c>
      <c r="IM26" s="23"/>
      <c r="IN26" s="2"/>
      <c r="IO26" s="2"/>
      <c r="IP26" s="24">
        <f t="shared" si="60"/>
        <v>0</v>
      </c>
      <c r="IQ26" s="23"/>
      <c r="IR26" s="2"/>
      <c r="IS26" s="2"/>
      <c r="IT26" s="24">
        <f t="shared" si="61"/>
        <v>0</v>
      </c>
      <c r="IU26" s="23"/>
      <c r="IV26" s="8">
        <f t="shared" si="62"/>
        <v>0</v>
      </c>
      <c r="IW26" s="2"/>
      <c r="IX26" s="2"/>
      <c r="IY26" s="24">
        <f t="shared" si="63"/>
        <v>0</v>
      </c>
      <c r="IZ26" s="23"/>
      <c r="JA26" s="2"/>
      <c r="JB26" s="2"/>
      <c r="JC26" s="24">
        <f t="shared" si="64"/>
        <v>0</v>
      </c>
      <c r="JD26" s="23"/>
      <c r="JE26" s="2"/>
      <c r="JF26" s="2"/>
      <c r="JG26" s="24">
        <f t="shared" si="65"/>
        <v>0</v>
      </c>
      <c r="JH26" s="23"/>
      <c r="JI26" s="2"/>
      <c r="JJ26" s="2"/>
      <c r="JK26" s="24">
        <f t="shared" si="66"/>
        <v>0</v>
      </c>
      <c r="JL26" s="23"/>
      <c r="JM26" s="2"/>
      <c r="JN26" s="2"/>
      <c r="JO26" s="24">
        <f t="shared" si="67"/>
        <v>0</v>
      </c>
      <c r="JP26" s="23"/>
      <c r="JQ26" s="2"/>
      <c r="JR26" s="2"/>
      <c r="JS26" s="24">
        <f t="shared" si="68"/>
        <v>0</v>
      </c>
      <c r="JT26" s="23"/>
      <c r="JU26" s="8">
        <f t="shared" si="69"/>
        <v>0</v>
      </c>
      <c r="JV26" s="2"/>
      <c r="JW26" s="2"/>
      <c r="JX26" s="24">
        <f t="shared" si="70"/>
        <v>0</v>
      </c>
      <c r="JY26" s="23"/>
      <c r="JZ26" s="2"/>
      <c r="KA26" s="2"/>
      <c r="KB26" s="24">
        <f t="shared" si="71"/>
        <v>0</v>
      </c>
      <c r="KC26" s="23"/>
      <c r="KD26" s="2"/>
      <c r="KE26" s="2"/>
      <c r="KF26" s="24">
        <f t="shared" si="72"/>
        <v>0</v>
      </c>
      <c r="KG26" s="23"/>
      <c r="KH26" s="2"/>
      <c r="KI26" s="2"/>
      <c r="KJ26" s="24">
        <f t="shared" si="73"/>
        <v>0</v>
      </c>
      <c r="KK26" s="23"/>
      <c r="KL26" s="2"/>
      <c r="KM26" s="2"/>
      <c r="KN26" s="24">
        <f t="shared" si="74"/>
        <v>0</v>
      </c>
      <c r="KO26" s="23"/>
      <c r="KP26" s="2"/>
      <c r="KQ26" s="2"/>
      <c r="KR26" s="24">
        <f t="shared" si="75"/>
        <v>0</v>
      </c>
      <c r="KS26" s="23"/>
      <c r="KT26" s="8">
        <f t="shared" si="76"/>
        <v>0</v>
      </c>
      <c r="KU26" s="2"/>
      <c r="KV26" s="2"/>
      <c r="KW26" s="24">
        <f t="shared" si="77"/>
        <v>0</v>
      </c>
      <c r="KX26" s="23"/>
      <c r="KY26" s="8">
        <f t="shared" si="78"/>
        <v>0</v>
      </c>
      <c r="KZ26" s="2"/>
      <c r="LA26" s="2"/>
      <c r="LB26" s="24">
        <f t="shared" si="79"/>
        <v>0</v>
      </c>
      <c r="LC26" s="23"/>
      <c r="LD26" s="2"/>
      <c r="LE26" s="2"/>
      <c r="LF26" s="24">
        <f t="shared" si="80"/>
        <v>0</v>
      </c>
      <c r="LG26" s="23"/>
      <c r="LH26" s="2"/>
      <c r="LI26" s="2"/>
      <c r="LJ26" s="24">
        <f t="shared" si="81"/>
        <v>0</v>
      </c>
      <c r="LK26" s="23"/>
      <c r="LL26" s="8">
        <f t="shared" si="82"/>
        <v>0</v>
      </c>
      <c r="LM26" s="2"/>
      <c r="LN26" s="2"/>
      <c r="LO26" s="24">
        <f t="shared" si="83"/>
        <v>0</v>
      </c>
      <c r="LP26" s="23"/>
      <c r="LQ26" s="2"/>
      <c r="LR26" s="2"/>
      <c r="LS26" s="24">
        <f t="shared" si="84"/>
        <v>0</v>
      </c>
      <c r="LT26" s="23"/>
      <c r="LU26" s="2"/>
      <c r="LV26" s="2"/>
      <c r="LW26" s="24">
        <f t="shared" si="85"/>
        <v>0</v>
      </c>
      <c r="LX26" s="23"/>
      <c r="LY26" s="8">
        <f t="shared" si="86"/>
        <v>0</v>
      </c>
      <c r="LZ26" s="2"/>
      <c r="MA26" s="2"/>
      <c r="MB26" s="24">
        <f t="shared" si="87"/>
        <v>0</v>
      </c>
      <c r="MC26" s="23"/>
      <c r="MD26" s="2"/>
      <c r="ME26" s="2"/>
      <c r="MF26" s="24">
        <f t="shared" si="88"/>
        <v>0</v>
      </c>
      <c r="MG26" s="23"/>
      <c r="MH26" s="2"/>
      <c r="MI26" s="2"/>
      <c r="MJ26" s="24">
        <f t="shared" si="89"/>
        <v>0</v>
      </c>
      <c r="MK26" s="23"/>
      <c r="ML26" s="8">
        <f t="shared" si="90"/>
        <v>0</v>
      </c>
      <c r="MM26" s="2"/>
      <c r="MN26" s="2"/>
      <c r="MO26" s="24">
        <f t="shared" si="91"/>
        <v>0</v>
      </c>
      <c r="MP26" s="23"/>
      <c r="MQ26" s="2"/>
      <c r="MR26" s="2"/>
      <c r="MS26" s="24">
        <f t="shared" si="92"/>
        <v>0</v>
      </c>
      <c r="MT26" s="23"/>
      <c r="MU26" s="2"/>
      <c r="MV26" s="2"/>
      <c r="MW26" s="24">
        <f t="shared" si="93"/>
        <v>0</v>
      </c>
      <c r="MX26" s="23"/>
      <c r="MY26" s="8">
        <f t="shared" si="94"/>
        <v>0</v>
      </c>
      <c r="MZ26" s="2"/>
      <c r="NA26" s="2"/>
      <c r="NB26" s="24">
        <f t="shared" si="95"/>
        <v>0</v>
      </c>
      <c r="NC26" s="23"/>
      <c r="ND26" s="2"/>
      <c r="NE26" s="2"/>
      <c r="NF26" s="24">
        <f t="shared" si="96"/>
        <v>0</v>
      </c>
      <c r="NG26" s="23"/>
      <c r="NH26" s="2"/>
      <c r="NI26" s="2"/>
      <c r="NJ26" s="24">
        <f t="shared" si="97"/>
        <v>0</v>
      </c>
      <c r="NK26" s="23"/>
      <c r="NL26" s="8">
        <f t="shared" si="98"/>
        <v>0</v>
      </c>
      <c r="NM26" s="2"/>
      <c r="NN26" s="2"/>
      <c r="NO26" s="24">
        <f t="shared" si="99"/>
        <v>0</v>
      </c>
      <c r="NP26" s="23"/>
      <c r="NQ26" s="2"/>
      <c r="NR26" s="2"/>
      <c r="NS26" s="24">
        <f t="shared" si="100"/>
        <v>0</v>
      </c>
      <c r="NT26" s="23"/>
      <c r="NU26" s="8">
        <f t="shared" si="101"/>
        <v>0</v>
      </c>
      <c r="NV26" s="2"/>
      <c r="NW26" s="2"/>
      <c r="NX26" s="24">
        <f t="shared" si="102"/>
        <v>0</v>
      </c>
      <c r="NY26" s="23"/>
      <c r="NZ26" s="2"/>
      <c r="OA26" s="2"/>
      <c r="OB26" s="24">
        <f t="shared" si="103"/>
        <v>0</v>
      </c>
      <c r="OC26" s="23"/>
      <c r="OD26" s="8">
        <f t="shared" si="104"/>
        <v>0</v>
      </c>
      <c r="OE26" s="2"/>
      <c r="OF26" s="2"/>
      <c r="OG26" s="24">
        <f t="shared" si="105"/>
        <v>0</v>
      </c>
      <c r="OH26" s="23"/>
      <c r="OI26" s="2"/>
      <c r="OJ26" s="2"/>
      <c r="OK26" s="24">
        <f t="shared" si="106"/>
        <v>0</v>
      </c>
      <c r="OL26" s="23"/>
      <c r="OM26" s="8">
        <f t="shared" si="107"/>
        <v>0</v>
      </c>
      <c r="ON26" s="2"/>
      <c r="OO26" s="2"/>
      <c r="OP26" s="24">
        <f t="shared" si="108"/>
        <v>0</v>
      </c>
      <c r="OQ26" s="23"/>
      <c r="OR26" s="2"/>
      <c r="OS26" s="2"/>
      <c r="OT26" s="24">
        <f t="shared" si="109"/>
        <v>0</v>
      </c>
      <c r="OU26" s="23"/>
      <c r="OV26" s="8">
        <f t="shared" si="110"/>
        <v>0</v>
      </c>
      <c r="OW26" s="2"/>
      <c r="OX26" s="2"/>
      <c r="OY26" s="24">
        <f t="shared" si="111"/>
        <v>0</v>
      </c>
      <c r="OZ26" s="23"/>
      <c r="PA26" s="8">
        <f t="shared" si="112"/>
        <v>0</v>
      </c>
      <c r="PB26" s="2"/>
      <c r="PC26" s="2"/>
      <c r="PD26" s="24">
        <f t="shared" si="113"/>
        <v>0</v>
      </c>
      <c r="PE26" s="23"/>
      <c r="PF26" s="8">
        <f t="shared" si="114"/>
        <v>0</v>
      </c>
      <c r="PG26" s="2"/>
      <c r="PH26" s="2"/>
      <c r="PI26" s="24">
        <f t="shared" si="115"/>
        <v>0</v>
      </c>
      <c r="PJ26" s="23"/>
      <c r="PK26" s="2"/>
      <c r="PL26" s="2"/>
      <c r="PM26" s="24">
        <f t="shared" si="116"/>
        <v>0</v>
      </c>
      <c r="PN26" s="23"/>
      <c r="PO26" s="8">
        <f t="shared" si="117"/>
        <v>0</v>
      </c>
      <c r="PP26" s="2"/>
      <c r="PQ26" s="2"/>
      <c r="PR26" s="24">
        <f t="shared" si="118"/>
        <v>0</v>
      </c>
      <c r="PS26" s="23"/>
      <c r="PT26" s="8">
        <f t="shared" si="119"/>
        <v>0</v>
      </c>
      <c r="PU26" s="2"/>
      <c r="PV26" s="2"/>
      <c r="PW26" s="24">
        <f t="shared" si="120"/>
        <v>0</v>
      </c>
      <c r="PX26" s="23"/>
      <c r="PY26" s="8">
        <f t="shared" si="121"/>
        <v>0</v>
      </c>
      <c r="PZ26" s="2"/>
      <c r="QA26" s="2"/>
      <c r="QB26" s="24">
        <f t="shared" si="122"/>
        <v>0</v>
      </c>
      <c r="QC26" s="23"/>
      <c r="QD26" s="8">
        <f t="shared" si="123"/>
        <v>0</v>
      </c>
      <c r="QE26" s="2"/>
      <c r="QF26" s="2"/>
      <c r="QG26" s="24">
        <f t="shared" si="124"/>
        <v>0</v>
      </c>
      <c r="QH26" s="23"/>
      <c r="QI26" s="8">
        <f t="shared" si="125"/>
        <v>0</v>
      </c>
    </row>
    <row r="27" spans="1:451" ht="14.25" customHeight="1" x14ac:dyDescent="0.3">
      <c r="A27" s="5" t="s">
        <v>26</v>
      </c>
      <c r="B27" s="2">
        <v>2</v>
      </c>
      <c r="C27" s="2">
        <v>1</v>
      </c>
      <c r="D27" s="24">
        <f t="shared" si="0"/>
        <v>4</v>
      </c>
      <c r="E27" s="23"/>
      <c r="F27" s="2">
        <v>1</v>
      </c>
      <c r="G27" s="2">
        <v>2</v>
      </c>
      <c r="H27" s="24">
        <f t="shared" si="1"/>
        <v>0</v>
      </c>
      <c r="I27" s="23"/>
      <c r="J27" s="8">
        <f t="shared" si="2"/>
        <v>4</v>
      </c>
      <c r="K27" s="2">
        <v>1</v>
      </c>
      <c r="L27" s="2">
        <v>1</v>
      </c>
      <c r="M27" s="24">
        <f t="shared" si="3"/>
        <v>5</v>
      </c>
      <c r="N27" s="23"/>
      <c r="O27" s="2">
        <v>1</v>
      </c>
      <c r="P27" s="2">
        <v>2</v>
      </c>
      <c r="Q27" s="24">
        <f t="shared" si="4"/>
        <v>0</v>
      </c>
      <c r="R27" s="23"/>
      <c r="S27" s="8">
        <f t="shared" si="5"/>
        <v>5</v>
      </c>
      <c r="T27" s="2">
        <v>1</v>
      </c>
      <c r="U27" s="2">
        <v>3</v>
      </c>
      <c r="V27" s="24">
        <f t="shared" si="6"/>
        <v>1</v>
      </c>
      <c r="W27" s="23"/>
      <c r="X27" s="2">
        <v>2</v>
      </c>
      <c r="Y27" s="2">
        <v>1</v>
      </c>
      <c r="Z27" s="24">
        <f t="shared" si="7"/>
        <v>1</v>
      </c>
      <c r="AA27" s="23"/>
      <c r="AB27" s="2">
        <v>0</v>
      </c>
      <c r="AC27" s="2">
        <v>2</v>
      </c>
      <c r="AD27" s="24">
        <f t="shared" si="8"/>
        <v>4</v>
      </c>
      <c r="AE27" s="23"/>
      <c r="AF27" s="2">
        <v>1</v>
      </c>
      <c r="AG27" s="2">
        <v>3</v>
      </c>
      <c r="AH27" s="24">
        <f t="shared" si="9"/>
        <v>0</v>
      </c>
      <c r="AI27" s="23"/>
      <c r="AJ27" s="8">
        <f t="shared" si="10"/>
        <v>6</v>
      </c>
      <c r="AK27" s="2">
        <v>4</v>
      </c>
      <c r="AL27" s="2">
        <v>0</v>
      </c>
      <c r="AM27" s="24">
        <f t="shared" si="11"/>
        <v>3</v>
      </c>
      <c r="AN27" s="23"/>
      <c r="AO27" s="2">
        <v>2</v>
      </c>
      <c r="AP27" s="2">
        <v>0</v>
      </c>
      <c r="AQ27" s="24">
        <f t="shared" si="12"/>
        <v>1</v>
      </c>
      <c r="AR27" s="23"/>
      <c r="AS27" s="2">
        <v>1</v>
      </c>
      <c r="AT27" s="2">
        <v>1</v>
      </c>
      <c r="AU27" s="24">
        <f t="shared" si="13"/>
        <v>1</v>
      </c>
      <c r="AV27" s="23"/>
      <c r="AW27" s="2">
        <v>1</v>
      </c>
      <c r="AX27" s="2">
        <v>0</v>
      </c>
      <c r="AY27" s="24">
        <f t="shared" si="14"/>
        <v>3</v>
      </c>
      <c r="AZ27" s="23"/>
      <c r="BA27" s="8">
        <f t="shared" si="15"/>
        <v>8</v>
      </c>
      <c r="BB27" s="2">
        <v>3</v>
      </c>
      <c r="BC27" s="2">
        <v>0</v>
      </c>
      <c r="BD27" s="24">
        <f t="shared" si="16"/>
        <v>1</v>
      </c>
      <c r="BE27" s="23"/>
      <c r="BF27" s="2">
        <v>2</v>
      </c>
      <c r="BG27" s="2">
        <v>1</v>
      </c>
      <c r="BH27" s="24">
        <f t="shared" si="17"/>
        <v>1</v>
      </c>
      <c r="BI27" s="23"/>
      <c r="BJ27" s="2">
        <v>1</v>
      </c>
      <c r="BK27" s="2">
        <v>1</v>
      </c>
      <c r="BL27" s="24">
        <f t="shared" si="18"/>
        <v>5</v>
      </c>
      <c r="BM27" s="23"/>
      <c r="BN27" s="2">
        <v>1</v>
      </c>
      <c r="BO27" s="2">
        <v>1</v>
      </c>
      <c r="BP27" s="24">
        <f t="shared" si="19"/>
        <v>3</v>
      </c>
      <c r="BQ27" s="23"/>
      <c r="BR27" s="8">
        <f t="shared" si="20"/>
        <v>10</v>
      </c>
      <c r="BS27" s="2">
        <v>3</v>
      </c>
      <c r="BT27" s="2">
        <v>1</v>
      </c>
      <c r="BU27" s="24">
        <f t="shared" si="21"/>
        <v>5</v>
      </c>
      <c r="BV27" s="23"/>
      <c r="BW27" s="2">
        <v>0</v>
      </c>
      <c r="BX27" s="2">
        <v>1</v>
      </c>
      <c r="BY27" s="24">
        <f t="shared" si="22"/>
        <v>3</v>
      </c>
      <c r="BZ27" s="23"/>
      <c r="CA27" s="2">
        <v>2</v>
      </c>
      <c r="CB27" s="2">
        <v>1</v>
      </c>
      <c r="CC27" s="24">
        <f t="shared" si="23"/>
        <v>3</v>
      </c>
      <c r="CD27" s="23"/>
      <c r="CE27" s="2">
        <v>1</v>
      </c>
      <c r="CF27" s="2">
        <v>1</v>
      </c>
      <c r="CG27" s="24">
        <f t="shared" si="24"/>
        <v>1</v>
      </c>
      <c r="CH27" s="23"/>
      <c r="CI27" s="8">
        <f t="shared" si="25"/>
        <v>12</v>
      </c>
      <c r="CJ27" s="2">
        <v>3</v>
      </c>
      <c r="CK27" s="2">
        <v>0</v>
      </c>
      <c r="CL27" s="24">
        <f t="shared" si="26"/>
        <v>0</v>
      </c>
      <c r="CM27" s="23"/>
      <c r="CN27" s="2">
        <v>2</v>
      </c>
      <c r="CO27" s="2">
        <v>2</v>
      </c>
      <c r="CP27" s="24">
        <f t="shared" si="27"/>
        <v>1</v>
      </c>
      <c r="CQ27" s="23"/>
      <c r="CR27" s="2">
        <v>1</v>
      </c>
      <c r="CS27" s="2">
        <v>0</v>
      </c>
      <c r="CT27" s="24">
        <f t="shared" si="28"/>
        <v>5</v>
      </c>
      <c r="CU27" s="23"/>
      <c r="CV27" s="2">
        <v>0</v>
      </c>
      <c r="CW27" s="2">
        <v>2</v>
      </c>
      <c r="CX27" s="24">
        <f t="shared" si="29"/>
        <v>3</v>
      </c>
      <c r="CY27" s="23"/>
      <c r="CZ27" s="8">
        <f t="shared" si="30"/>
        <v>9</v>
      </c>
      <c r="DA27" s="2">
        <v>2</v>
      </c>
      <c r="DB27" s="2">
        <v>1</v>
      </c>
      <c r="DC27" s="24">
        <f t="shared" si="126"/>
        <v>1</v>
      </c>
      <c r="DD27" s="23"/>
      <c r="DE27" s="2">
        <v>2</v>
      </c>
      <c r="DF27" s="2">
        <v>0</v>
      </c>
      <c r="DG27" s="24">
        <f t="shared" si="127"/>
        <v>3</v>
      </c>
      <c r="DH27" s="23"/>
      <c r="DI27" s="2">
        <v>1</v>
      </c>
      <c r="DJ27" s="2">
        <v>0</v>
      </c>
      <c r="DK27" s="24">
        <f t="shared" si="128"/>
        <v>4</v>
      </c>
      <c r="DL27" s="23"/>
      <c r="DM27" s="2">
        <v>2</v>
      </c>
      <c r="DN27" s="2">
        <v>2</v>
      </c>
      <c r="DO27" s="24">
        <f t="shared" si="129"/>
        <v>0</v>
      </c>
      <c r="DP27" s="23"/>
      <c r="DQ27" s="8">
        <f t="shared" si="31"/>
        <v>8</v>
      </c>
      <c r="DR27" s="2">
        <v>2</v>
      </c>
      <c r="DS27" s="2">
        <v>1</v>
      </c>
      <c r="DT27" s="24">
        <f t="shared" si="130"/>
        <v>4</v>
      </c>
      <c r="DU27" s="23"/>
      <c r="DV27" s="2">
        <v>1</v>
      </c>
      <c r="DW27" s="2">
        <v>2</v>
      </c>
      <c r="DX27" s="24">
        <f t="shared" si="131"/>
        <v>3</v>
      </c>
      <c r="DY27" s="23"/>
      <c r="DZ27" s="2">
        <v>3</v>
      </c>
      <c r="EA27" s="2">
        <v>0</v>
      </c>
      <c r="EB27" s="24">
        <f t="shared" si="132"/>
        <v>5</v>
      </c>
      <c r="EC27" s="23"/>
      <c r="ED27" s="2">
        <v>2</v>
      </c>
      <c r="EE27" s="2">
        <v>1</v>
      </c>
      <c r="EF27" s="24">
        <f t="shared" si="133"/>
        <v>1</v>
      </c>
      <c r="EG27" s="23"/>
      <c r="EH27" s="8">
        <f t="shared" si="32"/>
        <v>13</v>
      </c>
      <c r="EI27" s="2">
        <v>3</v>
      </c>
      <c r="EJ27" s="2">
        <v>1</v>
      </c>
      <c r="EK27" s="24">
        <f t="shared" si="33"/>
        <v>4</v>
      </c>
      <c r="EL27" s="23"/>
      <c r="EM27" s="2">
        <v>3</v>
      </c>
      <c r="EN27" s="2">
        <v>1</v>
      </c>
      <c r="EO27" s="24">
        <f t="shared" si="34"/>
        <v>4</v>
      </c>
      <c r="EP27" s="23"/>
      <c r="EQ27" s="2">
        <v>2</v>
      </c>
      <c r="ER27" s="2">
        <v>0</v>
      </c>
      <c r="ES27" s="24">
        <f t="shared" si="35"/>
        <v>1</v>
      </c>
      <c r="ET27" s="23"/>
      <c r="EU27" s="2">
        <v>1</v>
      </c>
      <c r="EV27" s="2">
        <v>2</v>
      </c>
      <c r="EW27" s="24">
        <f t="shared" si="36"/>
        <v>3</v>
      </c>
      <c r="EX27" s="23"/>
      <c r="EY27" s="8">
        <f t="shared" si="37"/>
        <v>12</v>
      </c>
      <c r="EZ27" s="2">
        <v>3</v>
      </c>
      <c r="FA27" s="2">
        <v>1</v>
      </c>
      <c r="FB27" s="24"/>
      <c r="FC27" s="23"/>
      <c r="FD27" s="2">
        <v>3</v>
      </c>
      <c r="FE27" s="2">
        <v>0</v>
      </c>
      <c r="FF27" s="24"/>
      <c r="FG27" s="23"/>
      <c r="FH27" s="2">
        <v>2</v>
      </c>
      <c r="FI27" s="2">
        <v>0</v>
      </c>
      <c r="FJ27" s="24"/>
      <c r="FK27" s="23"/>
      <c r="FL27" s="2">
        <v>0</v>
      </c>
      <c r="FM27" s="2">
        <v>1</v>
      </c>
      <c r="FN27" s="24"/>
      <c r="FO27" s="23"/>
      <c r="FP27" s="8">
        <f t="shared" si="38"/>
        <v>0</v>
      </c>
      <c r="FQ27" s="2"/>
      <c r="FR27" s="2"/>
      <c r="FS27" s="24">
        <f t="shared" si="39"/>
        <v>0</v>
      </c>
      <c r="FT27" s="23"/>
      <c r="FU27" s="2"/>
      <c r="FV27" s="2"/>
      <c r="FW27" s="24">
        <f t="shared" si="40"/>
        <v>0</v>
      </c>
      <c r="FX27" s="23"/>
      <c r="FY27" s="2"/>
      <c r="FZ27" s="2"/>
      <c r="GA27" s="24">
        <f t="shared" si="41"/>
        <v>0</v>
      </c>
      <c r="GB27" s="23"/>
      <c r="GC27" s="2"/>
      <c r="GD27" s="2"/>
      <c r="GE27" s="24">
        <f t="shared" si="42"/>
        <v>0</v>
      </c>
      <c r="GF27" s="23"/>
      <c r="GG27" s="8">
        <f t="shared" si="43"/>
        <v>0</v>
      </c>
      <c r="GH27" s="2"/>
      <c r="GI27" s="2"/>
      <c r="GJ27" s="24">
        <f t="shared" si="44"/>
        <v>0</v>
      </c>
      <c r="GK27" s="23"/>
      <c r="GL27" s="2"/>
      <c r="GM27" s="2"/>
      <c r="GN27" s="24">
        <f t="shared" si="45"/>
        <v>0</v>
      </c>
      <c r="GO27" s="23"/>
      <c r="GP27" s="2"/>
      <c r="GQ27" s="2"/>
      <c r="GR27" s="24">
        <f t="shared" si="46"/>
        <v>0</v>
      </c>
      <c r="GS27" s="23"/>
      <c r="GT27" s="2"/>
      <c r="GU27" s="2"/>
      <c r="GV27" s="24">
        <f t="shared" si="47"/>
        <v>0</v>
      </c>
      <c r="GW27" s="23"/>
      <c r="GX27" s="8">
        <f t="shared" si="48"/>
        <v>0</v>
      </c>
      <c r="GY27" s="2"/>
      <c r="GZ27" s="2"/>
      <c r="HA27" s="24">
        <f t="shared" si="49"/>
        <v>0</v>
      </c>
      <c r="HB27" s="23"/>
      <c r="HC27" s="2"/>
      <c r="HD27" s="2"/>
      <c r="HE27" s="24">
        <f t="shared" si="50"/>
        <v>0</v>
      </c>
      <c r="HF27" s="23"/>
      <c r="HG27" s="2"/>
      <c r="HH27" s="2"/>
      <c r="HI27" s="24">
        <f t="shared" si="51"/>
        <v>0</v>
      </c>
      <c r="HJ27" s="23"/>
      <c r="HK27" s="2"/>
      <c r="HL27" s="2"/>
      <c r="HM27" s="24">
        <f t="shared" si="52"/>
        <v>0</v>
      </c>
      <c r="HN27" s="23"/>
      <c r="HO27" s="2"/>
      <c r="HP27" s="2"/>
      <c r="HQ27" s="24">
        <f t="shared" si="53"/>
        <v>0</v>
      </c>
      <c r="HR27" s="23"/>
      <c r="HS27" s="2"/>
      <c r="HT27" s="2"/>
      <c r="HU27" s="24">
        <f t="shared" si="54"/>
        <v>0</v>
      </c>
      <c r="HV27" s="23"/>
      <c r="HW27" s="8">
        <f t="shared" si="55"/>
        <v>0</v>
      </c>
      <c r="HX27" s="2"/>
      <c r="HY27" s="2"/>
      <c r="HZ27" s="24">
        <f t="shared" si="56"/>
        <v>0</v>
      </c>
      <c r="IA27" s="23"/>
      <c r="IB27" s="2"/>
      <c r="IC27" s="2"/>
      <c r="ID27" s="24">
        <f t="shared" si="57"/>
        <v>0</v>
      </c>
      <c r="IE27" s="23"/>
      <c r="IF27" s="2"/>
      <c r="IG27" s="2"/>
      <c r="IH27" s="24">
        <f t="shared" si="58"/>
        <v>0</v>
      </c>
      <c r="II27" s="23"/>
      <c r="IJ27" s="2"/>
      <c r="IK27" s="2"/>
      <c r="IL27" s="24">
        <f t="shared" si="59"/>
        <v>0</v>
      </c>
      <c r="IM27" s="23"/>
      <c r="IN27" s="2"/>
      <c r="IO27" s="2"/>
      <c r="IP27" s="24">
        <f t="shared" si="60"/>
        <v>0</v>
      </c>
      <c r="IQ27" s="23"/>
      <c r="IR27" s="2"/>
      <c r="IS27" s="2"/>
      <c r="IT27" s="24">
        <f t="shared" si="61"/>
        <v>0</v>
      </c>
      <c r="IU27" s="23"/>
      <c r="IV27" s="8">
        <f t="shared" si="62"/>
        <v>0</v>
      </c>
      <c r="IW27" s="2"/>
      <c r="IX27" s="2"/>
      <c r="IY27" s="24">
        <f t="shared" si="63"/>
        <v>0</v>
      </c>
      <c r="IZ27" s="23"/>
      <c r="JA27" s="2"/>
      <c r="JB27" s="2"/>
      <c r="JC27" s="24">
        <f t="shared" si="64"/>
        <v>0</v>
      </c>
      <c r="JD27" s="23"/>
      <c r="JE27" s="2"/>
      <c r="JF27" s="2"/>
      <c r="JG27" s="24">
        <f t="shared" si="65"/>
        <v>0</v>
      </c>
      <c r="JH27" s="23"/>
      <c r="JI27" s="2"/>
      <c r="JJ27" s="2"/>
      <c r="JK27" s="24">
        <f t="shared" si="66"/>
        <v>0</v>
      </c>
      <c r="JL27" s="23"/>
      <c r="JM27" s="2"/>
      <c r="JN27" s="2"/>
      <c r="JO27" s="24">
        <f t="shared" si="67"/>
        <v>0</v>
      </c>
      <c r="JP27" s="23"/>
      <c r="JQ27" s="2"/>
      <c r="JR27" s="2"/>
      <c r="JS27" s="24">
        <f t="shared" si="68"/>
        <v>0</v>
      </c>
      <c r="JT27" s="23"/>
      <c r="JU27" s="8">
        <f t="shared" si="69"/>
        <v>0</v>
      </c>
      <c r="JV27" s="2"/>
      <c r="JW27" s="2"/>
      <c r="JX27" s="24">
        <f t="shared" si="70"/>
        <v>0</v>
      </c>
      <c r="JY27" s="23"/>
      <c r="JZ27" s="2"/>
      <c r="KA27" s="2"/>
      <c r="KB27" s="24">
        <f t="shared" si="71"/>
        <v>0</v>
      </c>
      <c r="KC27" s="23"/>
      <c r="KD27" s="2"/>
      <c r="KE27" s="2"/>
      <c r="KF27" s="24">
        <f t="shared" si="72"/>
        <v>0</v>
      </c>
      <c r="KG27" s="23"/>
      <c r="KH27" s="2"/>
      <c r="KI27" s="2"/>
      <c r="KJ27" s="24">
        <f t="shared" si="73"/>
        <v>0</v>
      </c>
      <c r="KK27" s="23"/>
      <c r="KL27" s="2"/>
      <c r="KM27" s="2"/>
      <c r="KN27" s="24">
        <f t="shared" si="74"/>
        <v>0</v>
      </c>
      <c r="KO27" s="23"/>
      <c r="KP27" s="2"/>
      <c r="KQ27" s="2"/>
      <c r="KR27" s="24">
        <f t="shared" si="75"/>
        <v>0</v>
      </c>
      <c r="KS27" s="23"/>
      <c r="KT27" s="8">
        <f t="shared" si="76"/>
        <v>0</v>
      </c>
      <c r="KU27" s="2"/>
      <c r="KV27" s="2"/>
      <c r="KW27" s="24">
        <f t="shared" si="77"/>
        <v>0</v>
      </c>
      <c r="KX27" s="23"/>
      <c r="KY27" s="8">
        <f t="shared" si="78"/>
        <v>0</v>
      </c>
      <c r="KZ27" s="2"/>
      <c r="LA27" s="2"/>
      <c r="LB27" s="24">
        <f t="shared" si="79"/>
        <v>0</v>
      </c>
      <c r="LC27" s="23"/>
      <c r="LD27" s="2"/>
      <c r="LE27" s="2"/>
      <c r="LF27" s="24">
        <f t="shared" si="80"/>
        <v>0</v>
      </c>
      <c r="LG27" s="23"/>
      <c r="LH27" s="2"/>
      <c r="LI27" s="2"/>
      <c r="LJ27" s="24">
        <f t="shared" si="81"/>
        <v>0</v>
      </c>
      <c r="LK27" s="23"/>
      <c r="LL27" s="8">
        <f t="shared" si="82"/>
        <v>0</v>
      </c>
      <c r="LM27" s="2"/>
      <c r="LN27" s="2"/>
      <c r="LO27" s="24">
        <f t="shared" si="83"/>
        <v>0</v>
      </c>
      <c r="LP27" s="23"/>
      <c r="LQ27" s="2"/>
      <c r="LR27" s="2"/>
      <c r="LS27" s="24">
        <f t="shared" si="84"/>
        <v>0</v>
      </c>
      <c r="LT27" s="23"/>
      <c r="LU27" s="2"/>
      <c r="LV27" s="2"/>
      <c r="LW27" s="24">
        <f t="shared" si="85"/>
        <v>0</v>
      </c>
      <c r="LX27" s="23"/>
      <c r="LY27" s="8">
        <f t="shared" si="86"/>
        <v>0</v>
      </c>
      <c r="LZ27" s="2"/>
      <c r="MA27" s="2"/>
      <c r="MB27" s="24">
        <f t="shared" si="87"/>
        <v>0</v>
      </c>
      <c r="MC27" s="23"/>
      <c r="MD27" s="2"/>
      <c r="ME27" s="2"/>
      <c r="MF27" s="24">
        <f t="shared" si="88"/>
        <v>0</v>
      </c>
      <c r="MG27" s="23"/>
      <c r="MH27" s="2"/>
      <c r="MI27" s="2"/>
      <c r="MJ27" s="24">
        <f t="shared" si="89"/>
        <v>0</v>
      </c>
      <c r="MK27" s="23"/>
      <c r="ML27" s="8">
        <f t="shared" si="90"/>
        <v>0</v>
      </c>
      <c r="MM27" s="2"/>
      <c r="MN27" s="2"/>
      <c r="MO27" s="24">
        <f t="shared" si="91"/>
        <v>0</v>
      </c>
      <c r="MP27" s="23"/>
      <c r="MQ27" s="2"/>
      <c r="MR27" s="2"/>
      <c r="MS27" s="24">
        <f t="shared" si="92"/>
        <v>0</v>
      </c>
      <c r="MT27" s="23"/>
      <c r="MU27" s="2"/>
      <c r="MV27" s="2"/>
      <c r="MW27" s="24">
        <f t="shared" si="93"/>
        <v>0</v>
      </c>
      <c r="MX27" s="23"/>
      <c r="MY27" s="8">
        <f t="shared" si="94"/>
        <v>0</v>
      </c>
      <c r="MZ27" s="2"/>
      <c r="NA27" s="2"/>
      <c r="NB27" s="24">
        <f t="shared" si="95"/>
        <v>0</v>
      </c>
      <c r="NC27" s="23"/>
      <c r="ND27" s="2"/>
      <c r="NE27" s="2"/>
      <c r="NF27" s="24">
        <f t="shared" si="96"/>
        <v>0</v>
      </c>
      <c r="NG27" s="23"/>
      <c r="NH27" s="2"/>
      <c r="NI27" s="2"/>
      <c r="NJ27" s="24">
        <f t="shared" si="97"/>
        <v>0</v>
      </c>
      <c r="NK27" s="23"/>
      <c r="NL27" s="8">
        <f t="shared" si="98"/>
        <v>0</v>
      </c>
      <c r="NM27" s="2"/>
      <c r="NN27" s="2"/>
      <c r="NO27" s="24">
        <f t="shared" si="99"/>
        <v>0</v>
      </c>
      <c r="NP27" s="23"/>
      <c r="NQ27" s="2"/>
      <c r="NR27" s="2"/>
      <c r="NS27" s="24">
        <f t="shared" si="100"/>
        <v>0</v>
      </c>
      <c r="NT27" s="23"/>
      <c r="NU27" s="8">
        <f t="shared" si="101"/>
        <v>0</v>
      </c>
      <c r="NV27" s="2"/>
      <c r="NW27" s="2"/>
      <c r="NX27" s="24">
        <f t="shared" si="102"/>
        <v>0</v>
      </c>
      <c r="NY27" s="23"/>
      <c r="NZ27" s="2"/>
      <c r="OA27" s="2"/>
      <c r="OB27" s="24">
        <f t="shared" si="103"/>
        <v>0</v>
      </c>
      <c r="OC27" s="23"/>
      <c r="OD27" s="8">
        <f t="shared" si="104"/>
        <v>0</v>
      </c>
      <c r="OE27" s="2"/>
      <c r="OF27" s="2"/>
      <c r="OG27" s="24">
        <f t="shared" si="105"/>
        <v>0</v>
      </c>
      <c r="OH27" s="23"/>
      <c r="OI27" s="2"/>
      <c r="OJ27" s="2"/>
      <c r="OK27" s="24">
        <f t="shared" si="106"/>
        <v>0</v>
      </c>
      <c r="OL27" s="23"/>
      <c r="OM27" s="8">
        <f t="shared" si="107"/>
        <v>0</v>
      </c>
      <c r="ON27" s="2"/>
      <c r="OO27" s="2"/>
      <c r="OP27" s="24">
        <f t="shared" si="108"/>
        <v>0</v>
      </c>
      <c r="OQ27" s="23"/>
      <c r="OR27" s="2"/>
      <c r="OS27" s="2"/>
      <c r="OT27" s="24">
        <f t="shared" si="109"/>
        <v>0</v>
      </c>
      <c r="OU27" s="23"/>
      <c r="OV27" s="8">
        <f t="shared" si="110"/>
        <v>0</v>
      </c>
      <c r="OW27" s="2"/>
      <c r="OX27" s="2"/>
      <c r="OY27" s="24">
        <f t="shared" si="111"/>
        <v>0</v>
      </c>
      <c r="OZ27" s="23"/>
      <c r="PA27" s="8">
        <f t="shared" si="112"/>
        <v>0</v>
      </c>
      <c r="PB27" s="2"/>
      <c r="PC27" s="2"/>
      <c r="PD27" s="24">
        <f t="shared" si="113"/>
        <v>0</v>
      </c>
      <c r="PE27" s="23"/>
      <c r="PF27" s="8">
        <f t="shared" si="114"/>
        <v>0</v>
      </c>
      <c r="PG27" s="2"/>
      <c r="PH27" s="2"/>
      <c r="PI27" s="24">
        <f t="shared" si="115"/>
        <v>0</v>
      </c>
      <c r="PJ27" s="23"/>
      <c r="PK27" s="2"/>
      <c r="PL27" s="2"/>
      <c r="PM27" s="24">
        <f t="shared" si="116"/>
        <v>0</v>
      </c>
      <c r="PN27" s="23"/>
      <c r="PO27" s="8">
        <f t="shared" si="117"/>
        <v>0</v>
      </c>
      <c r="PP27" s="2"/>
      <c r="PQ27" s="2"/>
      <c r="PR27" s="24">
        <f t="shared" si="118"/>
        <v>0</v>
      </c>
      <c r="PS27" s="23"/>
      <c r="PT27" s="8">
        <f t="shared" si="119"/>
        <v>0</v>
      </c>
      <c r="PU27" s="2"/>
      <c r="PV27" s="2"/>
      <c r="PW27" s="24">
        <f t="shared" si="120"/>
        <v>0</v>
      </c>
      <c r="PX27" s="23"/>
      <c r="PY27" s="8">
        <f t="shared" si="121"/>
        <v>0</v>
      </c>
      <c r="PZ27" s="2"/>
      <c r="QA27" s="2"/>
      <c r="QB27" s="24">
        <f t="shared" si="122"/>
        <v>0</v>
      </c>
      <c r="QC27" s="23"/>
      <c r="QD27" s="8">
        <f t="shared" si="123"/>
        <v>0</v>
      </c>
      <c r="QE27" s="2"/>
      <c r="QF27" s="2"/>
      <c r="QG27" s="24">
        <f t="shared" si="124"/>
        <v>0</v>
      </c>
      <c r="QH27" s="23"/>
      <c r="QI27" s="8">
        <f t="shared" si="125"/>
        <v>0</v>
      </c>
    </row>
    <row r="28" spans="1:451" ht="14.25" customHeight="1" x14ac:dyDescent="0.3">
      <c r="A28" s="5" t="s">
        <v>27</v>
      </c>
      <c r="B28" s="2">
        <v>2</v>
      </c>
      <c r="C28" s="2">
        <v>1</v>
      </c>
      <c r="D28" s="24">
        <f t="shared" si="0"/>
        <v>4</v>
      </c>
      <c r="E28" s="23"/>
      <c r="F28" s="2">
        <v>2</v>
      </c>
      <c r="G28" s="2">
        <v>2</v>
      </c>
      <c r="H28" s="24">
        <f t="shared" si="1"/>
        <v>1</v>
      </c>
      <c r="I28" s="23"/>
      <c r="J28" s="8">
        <f t="shared" si="2"/>
        <v>5</v>
      </c>
      <c r="K28" s="2">
        <v>2</v>
      </c>
      <c r="L28" s="2">
        <v>0</v>
      </c>
      <c r="M28" s="24">
        <f t="shared" si="3"/>
        <v>0</v>
      </c>
      <c r="N28" s="23"/>
      <c r="O28" s="2">
        <v>2</v>
      </c>
      <c r="P28" s="2">
        <v>1</v>
      </c>
      <c r="Q28" s="24">
        <f t="shared" si="4"/>
        <v>4</v>
      </c>
      <c r="R28" s="23"/>
      <c r="S28" s="8">
        <f t="shared" si="5"/>
        <v>4</v>
      </c>
      <c r="T28" s="2">
        <v>0</v>
      </c>
      <c r="U28" s="2">
        <v>2</v>
      </c>
      <c r="V28" s="24">
        <f t="shared" si="6"/>
        <v>0</v>
      </c>
      <c r="W28" s="23"/>
      <c r="X28" s="2">
        <v>3</v>
      </c>
      <c r="Y28" s="2">
        <v>1</v>
      </c>
      <c r="Z28" s="24">
        <f t="shared" si="7"/>
        <v>1</v>
      </c>
      <c r="AA28" s="23"/>
      <c r="AB28" s="2">
        <v>0</v>
      </c>
      <c r="AC28" s="2">
        <v>3</v>
      </c>
      <c r="AD28" s="24">
        <f t="shared" si="8"/>
        <v>4</v>
      </c>
      <c r="AE28" s="23"/>
      <c r="AF28" s="2">
        <v>0</v>
      </c>
      <c r="AG28" s="2">
        <v>2</v>
      </c>
      <c r="AH28" s="24">
        <f t="shared" si="9"/>
        <v>0</v>
      </c>
      <c r="AI28" s="23"/>
      <c r="AJ28" s="8">
        <f t="shared" si="10"/>
        <v>5</v>
      </c>
      <c r="AK28" s="2">
        <v>4</v>
      </c>
      <c r="AL28" s="2">
        <v>0</v>
      </c>
      <c r="AM28" s="24">
        <f t="shared" si="11"/>
        <v>3</v>
      </c>
      <c r="AN28" s="23"/>
      <c r="AO28" s="2">
        <v>2</v>
      </c>
      <c r="AP28" s="2">
        <v>1</v>
      </c>
      <c r="AQ28" s="24">
        <f t="shared" si="12"/>
        <v>1</v>
      </c>
      <c r="AR28" s="23"/>
      <c r="AS28" s="2">
        <v>2</v>
      </c>
      <c r="AT28" s="2">
        <v>1</v>
      </c>
      <c r="AU28" s="24">
        <f t="shared" si="13"/>
        <v>3</v>
      </c>
      <c r="AV28" s="23"/>
      <c r="AW28" s="2">
        <v>3</v>
      </c>
      <c r="AX28" s="2">
        <v>1</v>
      </c>
      <c r="AY28" s="24">
        <f t="shared" si="14"/>
        <v>4</v>
      </c>
      <c r="AZ28" s="23"/>
      <c r="BA28" s="8">
        <f t="shared" si="15"/>
        <v>11</v>
      </c>
      <c r="BB28" s="2">
        <v>4</v>
      </c>
      <c r="BC28" s="2">
        <v>1</v>
      </c>
      <c r="BD28" s="24">
        <f t="shared" si="16"/>
        <v>0</v>
      </c>
      <c r="BE28" s="23"/>
      <c r="BF28" s="2">
        <v>2</v>
      </c>
      <c r="BG28" s="2">
        <v>1</v>
      </c>
      <c r="BH28" s="24">
        <f t="shared" si="17"/>
        <v>1</v>
      </c>
      <c r="BI28" s="23"/>
      <c r="BJ28" s="2">
        <v>1</v>
      </c>
      <c r="BK28" s="2">
        <v>1</v>
      </c>
      <c r="BL28" s="24">
        <f t="shared" si="18"/>
        <v>5</v>
      </c>
      <c r="BM28" s="23"/>
      <c r="BN28" s="2">
        <v>0</v>
      </c>
      <c r="BO28" s="2">
        <v>1</v>
      </c>
      <c r="BP28" s="24">
        <f t="shared" si="19"/>
        <v>0</v>
      </c>
      <c r="BQ28" s="23"/>
      <c r="BR28" s="8">
        <f t="shared" si="20"/>
        <v>6</v>
      </c>
      <c r="BS28" s="2">
        <v>3</v>
      </c>
      <c r="BT28" s="2">
        <v>1</v>
      </c>
      <c r="BU28" s="24">
        <f t="shared" si="21"/>
        <v>5</v>
      </c>
      <c r="BV28" s="23"/>
      <c r="BW28" s="2">
        <v>1</v>
      </c>
      <c r="BX28" s="2">
        <v>3</v>
      </c>
      <c r="BY28" s="24">
        <f t="shared" si="22"/>
        <v>4</v>
      </c>
      <c r="BZ28" s="23"/>
      <c r="CA28" s="2">
        <v>2</v>
      </c>
      <c r="CB28" s="2">
        <v>1</v>
      </c>
      <c r="CC28" s="24">
        <f t="shared" si="23"/>
        <v>3</v>
      </c>
      <c r="CD28" s="23"/>
      <c r="CE28" s="2">
        <v>2</v>
      </c>
      <c r="CF28" s="2">
        <v>1</v>
      </c>
      <c r="CG28" s="24">
        <f t="shared" si="24"/>
        <v>4</v>
      </c>
      <c r="CH28" s="23"/>
      <c r="CI28" s="8">
        <f t="shared" si="25"/>
        <v>16</v>
      </c>
      <c r="CJ28" s="2">
        <v>4</v>
      </c>
      <c r="CK28" s="2">
        <v>0</v>
      </c>
      <c r="CL28" s="24">
        <f t="shared" si="26"/>
        <v>0</v>
      </c>
      <c r="CM28" s="23"/>
      <c r="CN28" s="2">
        <v>2</v>
      </c>
      <c r="CO28" s="2">
        <v>2</v>
      </c>
      <c r="CP28" s="24">
        <f t="shared" si="27"/>
        <v>1</v>
      </c>
      <c r="CQ28" s="23"/>
      <c r="CR28" s="2">
        <v>1</v>
      </c>
      <c r="CS28" s="2">
        <v>0</v>
      </c>
      <c r="CT28" s="24">
        <f t="shared" si="28"/>
        <v>5</v>
      </c>
      <c r="CU28" s="23"/>
      <c r="CV28" s="2">
        <v>0</v>
      </c>
      <c r="CW28" s="2">
        <v>2</v>
      </c>
      <c r="CX28" s="24">
        <f t="shared" si="29"/>
        <v>3</v>
      </c>
      <c r="CY28" s="23"/>
      <c r="CZ28" s="8">
        <f t="shared" si="30"/>
        <v>9</v>
      </c>
      <c r="DA28" s="21">
        <v>3</v>
      </c>
      <c r="DB28" s="21">
        <v>1</v>
      </c>
      <c r="DC28" s="24">
        <f t="shared" si="126"/>
        <v>1</v>
      </c>
      <c r="DD28" s="23"/>
      <c r="DE28" s="21">
        <v>1</v>
      </c>
      <c r="DF28" s="21">
        <v>2</v>
      </c>
      <c r="DG28" s="24">
        <f t="shared" si="127"/>
        <v>0</v>
      </c>
      <c r="DH28" s="23"/>
      <c r="DI28" s="21">
        <v>2</v>
      </c>
      <c r="DJ28" s="21">
        <v>0</v>
      </c>
      <c r="DK28" s="24">
        <f t="shared" si="128"/>
        <v>4</v>
      </c>
      <c r="DL28" s="23"/>
      <c r="DM28" s="21">
        <v>1</v>
      </c>
      <c r="DN28" s="21">
        <v>3</v>
      </c>
      <c r="DO28" s="24">
        <f t="shared" si="129"/>
        <v>1</v>
      </c>
      <c r="DP28" s="23"/>
      <c r="DQ28" s="8">
        <v>3</v>
      </c>
      <c r="DR28" s="2">
        <v>2</v>
      </c>
      <c r="DS28" s="2">
        <v>1</v>
      </c>
      <c r="DT28" s="24">
        <f t="shared" si="130"/>
        <v>4</v>
      </c>
      <c r="DU28" s="23"/>
      <c r="DV28" s="2">
        <v>1</v>
      </c>
      <c r="DW28" s="2">
        <v>2</v>
      </c>
      <c r="DX28" s="24">
        <f t="shared" si="131"/>
        <v>3</v>
      </c>
      <c r="DY28" s="23"/>
      <c r="DZ28" s="2">
        <v>2</v>
      </c>
      <c r="EA28" s="2">
        <v>0</v>
      </c>
      <c r="EB28" s="24">
        <f t="shared" si="132"/>
        <v>4</v>
      </c>
      <c r="EC28" s="23"/>
      <c r="ED28" s="2">
        <v>1</v>
      </c>
      <c r="EE28" s="2">
        <v>1</v>
      </c>
      <c r="EF28" s="24">
        <f t="shared" si="133"/>
        <v>1</v>
      </c>
      <c r="EG28" s="23"/>
      <c r="EH28" s="8">
        <f t="shared" si="32"/>
        <v>12</v>
      </c>
      <c r="EI28" s="2">
        <v>2</v>
      </c>
      <c r="EJ28" s="2">
        <v>0</v>
      </c>
      <c r="EK28" s="24">
        <f t="shared" si="33"/>
        <v>3</v>
      </c>
      <c r="EL28" s="23"/>
      <c r="EM28" s="2">
        <v>4</v>
      </c>
      <c r="EN28" s="2">
        <v>1</v>
      </c>
      <c r="EO28" s="24">
        <f t="shared" si="34"/>
        <v>4</v>
      </c>
      <c r="EP28" s="23"/>
      <c r="EQ28" s="2">
        <v>1</v>
      </c>
      <c r="ER28" s="2">
        <v>0</v>
      </c>
      <c r="ES28" s="24">
        <f t="shared" si="35"/>
        <v>1</v>
      </c>
      <c r="ET28" s="23"/>
      <c r="EU28" s="2">
        <v>0</v>
      </c>
      <c r="EV28" s="2">
        <v>2</v>
      </c>
      <c r="EW28" s="24">
        <f t="shared" si="36"/>
        <v>4</v>
      </c>
      <c r="EX28" s="23"/>
      <c r="EY28" s="8">
        <f t="shared" si="37"/>
        <v>12</v>
      </c>
      <c r="EZ28" s="2">
        <v>2</v>
      </c>
      <c r="FA28" s="2">
        <v>1</v>
      </c>
      <c r="FB28" s="24"/>
      <c r="FC28" s="23"/>
      <c r="FD28" s="2">
        <v>3</v>
      </c>
      <c r="FE28" s="2">
        <v>0</v>
      </c>
      <c r="FF28" s="24"/>
      <c r="FG28" s="23"/>
      <c r="FH28" s="2">
        <v>2</v>
      </c>
      <c r="FI28" s="2">
        <v>0</v>
      </c>
      <c r="FJ28" s="24"/>
      <c r="FK28" s="23"/>
      <c r="FL28" s="2">
        <v>0</v>
      </c>
      <c r="FM28" s="2">
        <v>3</v>
      </c>
      <c r="FN28" s="24"/>
      <c r="FO28" s="23"/>
      <c r="FP28" s="8">
        <f t="shared" si="38"/>
        <v>0</v>
      </c>
      <c r="FQ28" s="2"/>
      <c r="FR28" s="2"/>
      <c r="FS28" s="24">
        <f t="shared" si="39"/>
        <v>0</v>
      </c>
      <c r="FT28" s="23"/>
      <c r="FU28" s="2"/>
      <c r="FV28" s="2"/>
      <c r="FW28" s="24">
        <f t="shared" si="40"/>
        <v>0</v>
      </c>
      <c r="FX28" s="23"/>
      <c r="FY28" s="2"/>
      <c r="FZ28" s="2"/>
      <c r="GA28" s="24">
        <f t="shared" si="41"/>
        <v>0</v>
      </c>
      <c r="GB28" s="23"/>
      <c r="GC28" s="2"/>
      <c r="GD28" s="2"/>
      <c r="GE28" s="24">
        <f t="shared" si="42"/>
        <v>0</v>
      </c>
      <c r="GF28" s="23"/>
      <c r="GG28" s="8">
        <f t="shared" si="43"/>
        <v>0</v>
      </c>
      <c r="GH28" s="2"/>
      <c r="GI28" s="2"/>
      <c r="GJ28" s="24">
        <f t="shared" si="44"/>
        <v>0</v>
      </c>
      <c r="GK28" s="23"/>
      <c r="GL28" s="2"/>
      <c r="GM28" s="2"/>
      <c r="GN28" s="24">
        <f t="shared" si="45"/>
        <v>0</v>
      </c>
      <c r="GO28" s="23"/>
      <c r="GP28" s="2"/>
      <c r="GQ28" s="2"/>
      <c r="GR28" s="24">
        <f t="shared" si="46"/>
        <v>0</v>
      </c>
      <c r="GS28" s="23"/>
      <c r="GT28" s="2"/>
      <c r="GU28" s="2"/>
      <c r="GV28" s="24">
        <f t="shared" si="47"/>
        <v>0</v>
      </c>
      <c r="GW28" s="23"/>
      <c r="GX28" s="8">
        <f t="shared" si="48"/>
        <v>0</v>
      </c>
      <c r="GY28" s="2"/>
      <c r="GZ28" s="2"/>
      <c r="HA28" s="24">
        <f t="shared" si="49"/>
        <v>0</v>
      </c>
      <c r="HB28" s="23"/>
      <c r="HC28" s="2"/>
      <c r="HD28" s="2"/>
      <c r="HE28" s="24">
        <f t="shared" si="50"/>
        <v>0</v>
      </c>
      <c r="HF28" s="23"/>
      <c r="HG28" s="2"/>
      <c r="HH28" s="2"/>
      <c r="HI28" s="24">
        <f t="shared" si="51"/>
        <v>0</v>
      </c>
      <c r="HJ28" s="23"/>
      <c r="HK28" s="2"/>
      <c r="HL28" s="2"/>
      <c r="HM28" s="24">
        <f t="shared" si="52"/>
        <v>0</v>
      </c>
      <c r="HN28" s="23"/>
      <c r="HO28" s="2"/>
      <c r="HP28" s="2"/>
      <c r="HQ28" s="24">
        <f t="shared" si="53"/>
        <v>0</v>
      </c>
      <c r="HR28" s="23"/>
      <c r="HS28" s="2"/>
      <c r="HT28" s="2"/>
      <c r="HU28" s="24">
        <f t="shared" si="54"/>
        <v>0</v>
      </c>
      <c r="HV28" s="23"/>
      <c r="HW28" s="8">
        <f t="shared" si="55"/>
        <v>0</v>
      </c>
      <c r="HX28" s="2"/>
      <c r="HY28" s="2"/>
      <c r="HZ28" s="24">
        <f t="shared" si="56"/>
        <v>0</v>
      </c>
      <c r="IA28" s="23"/>
      <c r="IB28" s="2"/>
      <c r="IC28" s="2"/>
      <c r="ID28" s="24">
        <f t="shared" si="57"/>
        <v>0</v>
      </c>
      <c r="IE28" s="23"/>
      <c r="IF28" s="2"/>
      <c r="IG28" s="2"/>
      <c r="IH28" s="24">
        <f t="shared" si="58"/>
        <v>0</v>
      </c>
      <c r="II28" s="23"/>
      <c r="IJ28" s="2"/>
      <c r="IK28" s="2"/>
      <c r="IL28" s="24">
        <f t="shared" si="59"/>
        <v>0</v>
      </c>
      <c r="IM28" s="23"/>
      <c r="IN28" s="2"/>
      <c r="IO28" s="2"/>
      <c r="IP28" s="24">
        <f t="shared" si="60"/>
        <v>0</v>
      </c>
      <c r="IQ28" s="23"/>
      <c r="IR28" s="2"/>
      <c r="IS28" s="2"/>
      <c r="IT28" s="24">
        <f t="shared" si="61"/>
        <v>0</v>
      </c>
      <c r="IU28" s="23"/>
      <c r="IV28" s="8">
        <f t="shared" si="62"/>
        <v>0</v>
      </c>
      <c r="IW28" s="2"/>
      <c r="IX28" s="2"/>
      <c r="IY28" s="24">
        <f t="shared" si="63"/>
        <v>0</v>
      </c>
      <c r="IZ28" s="23"/>
      <c r="JA28" s="2"/>
      <c r="JB28" s="2"/>
      <c r="JC28" s="24">
        <f t="shared" si="64"/>
        <v>0</v>
      </c>
      <c r="JD28" s="23"/>
      <c r="JE28" s="2"/>
      <c r="JF28" s="2"/>
      <c r="JG28" s="24">
        <f t="shared" si="65"/>
        <v>0</v>
      </c>
      <c r="JH28" s="23"/>
      <c r="JI28" s="2"/>
      <c r="JJ28" s="2"/>
      <c r="JK28" s="24">
        <f t="shared" si="66"/>
        <v>0</v>
      </c>
      <c r="JL28" s="23"/>
      <c r="JM28" s="2"/>
      <c r="JN28" s="2"/>
      <c r="JO28" s="24">
        <f t="shared" si="67"/>
        <v>0</v>
      </c>
      <c r="JP28" s="23"/>
      <c r="JQ28" s="2"/>
      <c r="JR28" s="2"/>
      <c r="JS28" s="24">
        <f t="shared" si="68"/>
        <v>0</v>
      </c>
      <c r="JT28" s="23"/>
      <c r="JU28" s="8">
        <f t="shared" si="69"/>
        <v>0</v>
      </c>
      <c r="JV28" s="2"/>
      <c r="JW28" s="2"/>
      <c r="JX28" s="24">
        <f t="shared" si="70"/>
        <v>0</v>
      </c>
      <c r="JY28" s="23"/>
      <c r="JZ28" s="2"/>
      <c r="KA28" s="2"/>
      <c r="KB28" s="24">
        <f t="shared" si="71"/>
        <v>0</v>
      </c>
      <c r="KC28" s="23"/>
      <c r="KD28" s="2"/>
      <c r="KE28" s="2"/>
      <c r="KF28" s="24">
        <f t="shared" si="72"/>
        <v>0</v>
      </c>
      <c r="KG28" s="23"/>
      <c r="KH28" s="2"/>
      <c r="KI28" s="2"/>
      <c r="KJ28" s="24">
        <f t="shared" si="73"/>
        <v>0</v>
      </c>
      <c r="KK28" s="23"/>
      <c r="KL28" s="2"/>
      <c r="KM28" s="2"/>
      <c r="KN28" s="24">
        <f t="shared" si="74"/>
        <v>0</v>
      </c>
      <c r="KO28" s="23"/>
      <c r="KP28" s="2"/>
      <c r="KQ28" s="2"/>
      <c r="KR28" s="24">
        <f t="shared" si="75"/>
        <v>0</v>
      </c>
      <c r="KS28" s="23"/>
      <c r="KT28" s="8">
        <f t="shared" si="76"/>
        <v>0</v>
      </c>
      <c r="KU28" s="2"/>
      <c r="KV28" s="2"/>
      <c r="KW28" s="24">
        <f t="shared" si="77"/>
        <v>0</v>
      </c>
      <c r="KX28" s="23"/>
      <c r="KY28" s="8">
        <f t="shared" si="78"/>
        <v>0</v>
      </c>
      <c r="KZ28" s="2"/>
      <c r="LA28" s="2"/>
      <c r="LB28" s="24">
        <f t="shared" si="79"/>
        <v>0</v>
      </c>
      <c r="LC28" s="23"/>
      <c r="LD28" s="2"/>
      <c r="LE28" s="2"/>
      <c r="LF28" s="24">
        <f t="shared" si="80"/>
        <v>0</v>
      </c>
      <c r="LG28" s="23"/>
      <c r="LH28" s="2"/>
      <c r="LI28" s="2"/>
      <c r="LJ28" s="24">
        <f t="shared" si="81"/>
        <v>0</v>
      </c>
      <c r="LK28" s="23"/>
      <c r="LL28" s="8">
        <f t="shared" si="82"/>
        <v>0</v>
      </c>
      <c r="LM28" s="2"/>
      <c r="LN28" s="2"/>
      <c r="LO28" s="24">
        <f t="shared" si="83"/>
        <v>0</v>
      </c>
      <c r="LP28" s="23"/>
      <c r="LQ28" s="2"/>
      <c r="LR28" s="2"/>
      <c r="LS28" s="24">
        <f t="shared" si="84"/>
        <v>0</v>
      </c>
      <c r="LT28" s="23"/>
      <c r="LU28" s="2"/>
      <c r="LV28" s="2"/>
      <c r="LW28" s="24">
        <f t="shared" si="85"/>
        <v>0</v>
      </c>
      <c r="LX28" s="23"/>
      <c r="LY28" s="8">
        <f t="shared" si="86"/>
        <v>0</v>
      </c>
      <c r="LZ28" s="2"/>
      <c r="MA28" s="2"/>
      <c r="MB28" s="24">
        <f t="shared" si="87"/>
        <v>0</v>
      </c>
      <c r="MC28" s="23"/>
      <c r="MD28" s="2"/>
      <c r="ME28" s="2"/>
      <c r="MF28" s="24">
        <f t="shared" si="88"/>
        <v>0</v>
      </c>
      <c r="MG28" s="23"/>
      <c r="MH28" s="2"/>
      <c r="MI28" s="2"/>
      <c r="MJ28" s="24">
        <f t="shared" si="89"/>
        <v>0</v>
      </c>
      <c r="MK28" s="23"/>
      <c r="ML28" s="8">
        <f t="shared" si="90"/>
        <v>0</v>
      </c>
      <c r="MM28" s="2"/>
      <c r="MN28" s="2"/>
      <c r="MO28" s="24">
        <f t="shared" si="91"/>
        <v>0</v>
      </c>
      <c r="MP28" s="23"/>
      <c r="MQ28" s="2"/>
      <c r="MR28" s="2"/>
      <c r="MS28" s="24">
        <f t="shared" si="92"/>
        <v>0</v>
      </c>
      <c r="MT28" s="23"/>
      <c r="MU28" s="2"/>
      <c r="MV28" s="2"/>
      <c r="MW28" s="24">
        <f t="shared" si="93"/>
        <v>0</v>
      </c>
      <c r="MX28" s="23"/>
      <c r="MY28" s="8">
        <f t="shared" si="94"/>
        <v>0</v>
      </c>
      <c r="MZ28" s="2"/>
      <c r="NA28" s="2"/>
      <c r="NB28" s="24">
        <f t="shared" si="95"/>
        <v>0</v>
      </c>
      <c r="NC28" s="23"/>
      <c r="ND28" s="2"/>
      <c r="NE28" s="2"/>
      <c r="NF28" s="24">
        <f t="shared" si="96"/>
        <v>0</v>
      </c>
      <c r="NG28" s="23"/>
      <c r="NH28" s="2"/>
      <c r="NI28" s="2"/>
      <c r="NJ28" s="24">
        <f t="shared" si="97"/>
        <v>0</v>
      </c>
      <c r="NK28" s="23"/>
      <c r="NL28" s="8">
        <f t="shared" si="98"/>
        <v>0</v>
      </c>
      <c r="NM28" s="2"/>
      <c r="NN28" s="2"/>
      <c r="NO28" s="24">
        <f t="shared" si="99"/>
        <v>0</v>
      </c>
      <c r="NP28" s="23"/>
      <c r="NQ28" s="2"/>
      <c r="NR28" s="2"/>
      <c r="NS28" s="24">
        <f t="shared" si="100"/>
        <v>0</v>
      </c>
      <c r="NT28" s="23"/>
      <c r="NU28" s="8">
        <f t="shared" si="101"/>
        <v>0</v>
      </c>
      <c r="NV28" s="2"/>
      <c r="NW28" s="2"/>
      <c r="NX28" s="24">
        <f t="shared" si="102"/>
        <v>0</v>
      </c>
      <c r="NY28" s="23"/>
      <c r="NZ28" s="2"/>
      <c r="OA28" s="2"/>
      <c r="OB28" s="24">
        <f t="shared" si="103"/>
        <v>0</v>
      </c>
      <c r="OC28" s="23"/>
      <c r="OD28" s="8">
        <f t="shared" si="104"/>
        <v>0</v>
      </c>
      <c r="OE28" s="2"/>
      <c r="OF28" s="2"/>
      <c r="OG28" s="24">
        <f t="shared" si="105"/>
        <v>0</v>
      </c>
      <c r="OH28" s="23"/>
      <c r="OI28" s="2"/>
      <c r="OJ28" s="2"/>
      <c r="OK28" s="24">
        <f t="shared" si="106"/>
        <v>0</v>
      </c>
      <c r="OL28" s="23"/>
      <c r="OM28" s="8">
        <f t="shared" si="107"/>
        <v>0</v>
      </c>
      <c r="ON28" s="2"/>
      <c r="OO28" s="2"/>
      <c r="OP28" s="24">
        <f t="shared" si="108"/>
        <v>0</v>
      </c>
      <c r="OQ28" s="23"/>
      <c r="OR28" s="2"/>
      <c r="OS28" s="2"/>
      <c r="OT28" s="24">
        <f t="shared" si="109"/>
        <v>0</v>
      </c>
      <c r="OU28" s="23"/>
      <c r="OV28" s="8">
        <f t="shared" si="110"/>
        <v>0</v>
      </c>
      <c r="OW28" s="2"/>
      <c r="OX28" s="2"/>
      <c r="OY28" s="24">
        <f t="shared" si="111"/>
        <v>0</v>
      </c>
      <c r="OZ28" s="23"/>
      <c r="PA28" s="8">
        <f t="shared" si="112"/>
        <v>0</v>
      </c>
      <c r="PB28" s="2"/>
      <c r="PC28" s="2"/>
      <c r="PD28" s="24">
        <f t="shared" si="113"/>
        <v>0</v>
      </c>
      <c r="PE28" s="23"/>
      <c r="PF28" s="8">
        <f t="shared" si="114"/>
        <v>0</v>
      </c>
      <c r="PG28" s="2"/>
      <c r="PH28" s="2"/>
      <c r="PI28" s="24">
        <f t="shared" si="115"/>
        <v>0</v>
      </c>
      <c r="PJ28" s="23"/>
      <c r="PK28" s="2"/>
      <c r="PL28" s="2"/>
      <c r="PM28" s="24">
        <f t="shared" si="116"/>
        <v>0</v>
      </c>
      <c r="PN28" s="23"/>
      <c r="PO28" s="8">
        <f t="shared" si="117"/>
        <v>0</v>
      </c>
      <c r="PP28" s="2"/>
      <c r="PQ28" s="2"/>
      <c r="PR28" s="24">
        <f t="shared" si="118"/>
        <v>0</v>
      </c>
      <c r="PS28" s="23"/>
      <c r="PT28" s="8">
        <f t="shared" si="119"/>
        <v>0</v>
      </c>
      <c r="PU28" s="2"/>
      <c r="PV28" s="2"/>
      <c r="PW28" s="24">
        <f t="shared" si="120"/>
        <v>0</v>
      </c>
      <c r="PX28" s="23"/>
      <c r="PY28" s="8">
        <f t="shared" si="121"/>
        <v>0</v>
      </c>
      <c r="PZ28" s="2"/>
      <c r="QA28" s="2"/>
      <c r="QB28" s="24">
        <f t="shared" si="122"/>
        <v>0</v>
      </c>
      <c r="QC28" s="23"/>
      <c r="QD28" s="8">
        <f t="shared" si="123"/>
        <v>0</v>
      </c>
      <c r="QE28" s="2"/>
      <c r="QF28" s="2"/>
      <c r="QG28" s="24">
        <f t="shared" si="124"/>
        <v>0</v>
      </c>
      <c r="QH28" s="23"/>
      <c r="QI28" s="8">
        <f t="shared" si="125"/>
        <v>0</v>
      </c>
    </row>
    <row r="29" spans="1:451" ht="14.25" customHeight="1" x14ac:dyDescent="0.3">
      <c r="A29" s="5" t="s">
        <v>28</v>
      </c>
      <c r="B29" s="2">
        <v>2</v>
      </c>
      <c r="C29" s="2">
        <v>0</v>
      </c>
      <c r="D29" s="24">
        <f t="shared" si="0"/>
        <v>5</v>
      </c>
      <c r="E29" s="23"/>
      <c r="F29" s="2">
        <v>1</v>
      </c>
      <c r="G29" s="2">
        <v>1</v>
      </c>
      <c r="H29" s="24">
        <f t="shared" si="1"/>
        <v>1</v>
      </c>
      <c r="I29" s="23"/>
      <c r="J29" s="8">
        <f t="shared" si="2"/>
        <v>6</v>
      </c>
      <c r="K29" s="2">
        <v>2</v>
      </c>
      <c r="L29" s="2">
        <v>1</v>
      </c>
      <c r="M29" s="24">
        <f t="shared" si="3"/>
        <v>1</v>
      </c>
      <c r="N29" s="23"/>
      <c r="O29" s="2">
        <v>2</v>
      </c>
      <c r="P29" s="2">
        <v>2</v>
      </c>
      <c r="Q29" s="24">
        <f t="shared" si="4"/>
        <v>0</v>
      </c>
      <c r="R29" s="23"/>
      <c r="S29" s="8">
        <f t="shared" si="5"/>
        <v>1</v>
      </c>
      <c r="T29" s="2">
        <v>0</v>
      </c>
      <c r="U29" s="2">
        <v>3</v>
      </c>
      <c r="V29" s="24">
        <f t="shared" si="6"/>
        <v>0</v>
      </c>
      <c r="W29" s="23"/>
      <c r="X29" s="2">
        <v>2</v>
      </c>
      <c r="Y29" s="2">
        <v>2</v>
      </c>
      <c r="Z29" s="24">
        <f t="shared" si="7"/>
        <v>3</v>
      </c>
      <c r="AA29" s="23"/>
      <c r="AB29" s="2">
        <v>0</v>
      </c>
      <c r="AC29" s="2">
        <v>4</v>
      </c>
      <c r="AD29" s="24">
        <f t="shared" si="8"/>
        <v>4</v>
      </c>
      <c r="AE29" s="23"/>
      <c r="AF29" s="2">
        <v>1</v>
      </c>
      <c r="AG29" s="2">
        <v>2</v>
      </c>
      <c r="AH29" s="24">
        <f t="shared" si="9"/>
        <v>0</v>
      </c>
      <c r="AI29" s="23"/>
      <c r="AJ29" s="8">
        <f t="shared" si="10"/>
        <v>7</v>
      </c>
      <c r="AK29" s="2">
        <v>7</v>
      </c>
      <c r="AL29" s="2">
        <v>0</v>
      </c>
      <c r="AM29" s="24">
        <f t="shared" si="11"/>
        <v>4</v>
      </c>
      <c r="AN29" s="23"/>
      <c r="AO29" s="2">
        <v>2</v>
      </c>
      <c r="AP29" s="2">
        <v>2</v>
      </c>
      <c r="AQ29" s="24">
        <f t="shared" si="12"/>
        <v>5</v>
      </c>
      <c r="AR29" s="23"/>
      <c r="AS29" s="2">
        <v>1</v>
      </c>
      <c r="AT29" s="2">
        <v>2</v>
      </c>
      <c r="AU29" s="24">
        <f t="shared" si="13"/>
        <v>1</v>
      </c>
      <c r="AV29" s="23"/>
      <c r="AW29" s="2">
        <v>3</v>
      </c>
      <c r="AX29" s="2">
        <v>0</v>
      </c>
      <c r="AY29" s="24">
        <f t="shared" si="14"/>
        <v>3</v>
      </c>
      <c r="AZ29" s="23"/>
      <c r="BA29" s="8">
        <f t="shared" si="15"/>
        <v>13</v>
      </c>
      <c r="BB29" s="2">
        <v>7</v>
      </c>
      <c r="BC29" s="2">
        <v>0</v>
      </c>
      <c r="BD29" s="24">
        <f t="shared" si="16"/>
        <v>1</v>
      </c>
      <c r="BE29" s="23"/>
      <c r="BF29" s="2">
        <v>5</v>
      </c>
      <c r="BG29" s="2">
        <v>1</v>
      </c>
      <c r="BH29" s="24">
        <f t="shared" si="17"/>
        <v>1</v>
      </c>
      <c r="BI29" s="23"/>
      <c r="BJ29" s="2">
        <v>1</v>
      </c>
      <c r="BK29" s="2">
        <v>2</v>
      </c>
      <c r="BL29" s="24">
        <f t="shared" si="18"/>
        <v>1</v>
      </c>
      <c r="BM29" s="23"/>
      <c r="BN29" s="2">
        <v>2</v>
      </c>
      <c r="BO29" s="2">
        <v>1</v>
      </c>
      <c r="BP29" s="24">
        <f t="shared" si="19"/>
        <v>1</v>
      </c>
      <c r="BQ29" s="23"/>
      <c r="BR29" s="8">
        <f t="shared" si="20"/>
        <v>4</v>
      </c>
      <c r="BS29" s="2">
        <v>3</v>
      </c>
      <c r="BT29" s="2">
        <v>1</v>
      </c>
      <c r="BU29" s="24">
        <f t="shared" si="21"/>
        <v>5</v>
      </c>
      <c r="BV29" s="23"/>
      <c r="BW29" s="2">
        <v>0</v>
      </c>
      <c r="BX29" s="2">
        <v>5</v>
      </c>
      <c r="BY29" s="24">
        <f t="shared" si="22"/>
        <v>3</v>
      </c>
      <c r="BZ29" s="23"/>
      <c r="CA29" s="2">
        <v>3</v>
      </c>
      <c r="CB29" s="2">
        <v>1</v>
      </c>
      <c r="CC29" s="24">
        <f t="shared" si="23"/>
        <v>4</v>
      </c>
      <c r="CD29" s="23"/>
      <c r="CE29" s="2">
        <v>3</v>
      </c>
      <c r="CF29" s="2">
        <v>0</v>
      </c>
      <c r="CG29" s="24">
        <f t="shared" si="24"/>
        <v>4</v>
      </c>
      <c r="CH29" s="23"/>
      <c r="CI29" s="8">
        <f t="shared" si="25"/>
        <v>16</v>
      </c>
      <c r="CJ29" s="2">
        <v>3</v>
      </c>
      <c r="CK29" s="2">
        <v>1</v>
      </c>
      <c r="CL29" s="24">
        <f t="shared" si="26"/>
        <v>1</v>
      </c>
      <c r="CM29" s="23"/>
      <c r="CN29" s="2">
        <v>4</v>
      </c>
      <c r="CO29" s="2">
        <v>3</v>
      </c>
      <c r="CP29" s="24">
        <f t="shared" si="27"/>
        <v>4</v>
      </c>
      <c r="CQ29" s="23"/>
      <c r="CR29" s="2">
        <v>3</v>
      </c>
      <c r="CS29" s="2">
        <v>0</v>
      </c>
      <c r="CT29" s="24">
        <f t="shared" si="28"/>
        <v>4</v>
      </c>
      <c r="CU29" s="23"/>
      <c r="CV29" s="2">
        <v>0</v>
      </c>
      <c r="CW29" s="2">
        <v>4</v>
      </c>
      <c r="CX29" s="24">
        <f t="shared" si="29"/>
        <v>3</v>
      </c>
      <c r="CY29" s="23"/>
      <c r="CZ29" s="8">
        <f t="shared" si="30"/>
        <v>12</v>
      </c>
      <c r="DA29" s="2">
        <v>2</v>
      </c>
      <c r="DB29" s="2">
        <v>0</v>
      </c>
      <c r="DC29" s="24">
        <f t="shared" si="126"/>
        <v>0</v>
      </c>
      <c r="DD29" s="23"/>
      <c r="DE29" s="2">
        <v>3</v>
      </c>
      <c r="DF29" s="2">
        <v>1</v>
      </c>
      <c r="DG29" s="24">
        <f t="shared" si="127"/>
        <v>4</v>
      </c>
      <c r="DH29" s="23"/>
      <c r="DI29" s="2">
        <v>2</v>
      </c>
      <c r="DJ29" s="2">
        <v>1</v>
      </c>
      <c r="DK29" s="24">
        <f t="shared" si="128"/>
        <v>3</v>
      </c>
      <c r="DL29" s="23"/>
      <c r="DM29" s="2">
        <v>1</v>
      </c>
      <c r="DN29" s="2">
        <v>2</v>
      </c>
      <c r="DO29" s="24">
        <f t="shared" si="129"/>
        <v>1</v>
      </c>
      <c r="DP29" s="23"/>
      <c r="DQ29" s="8">
        <f t="shared" si="31"/>
        <v>8</v>
      </c>
      <c r="DR29" s="2">
        <v>3</v>
      </c>
      <c r="DS29" s="2">
        <v>1</v>
      </c>
      <c r="DT29" s="24">
        <f t="shared" si="130"/>
        <v>3</v>
      </c>
      <c r="DU29" s="23"/>
      <c r="DV29" s="2">
        <v>1</v>
      </c>
      <c r="DW29" s="2">
        <v>4</v>
      </c>
      <c r="DX29" s="24">
        <f t="shared" si="131"/>
        <v>3</v>
      </c>
      <c r="DY29" s="23"/>
      <c r="DZ29" s="2">
        <v>6</v>
      </c>
      <c r="EA29" s="2">
        <v>0</v>
      </c>
      <c r="EB29" s="24">
        <f t="shared" si="132"/>
        <v>4</v>
      </c>
      <c r="EC29" s="23"/>
      <c r="ED29" s="2">
        <v>1</v>
      </c>
      <c r="EE29" s="2">
        <v>2</v>
      </c>
      <c r="EF29" s="24">
        <f t="shared" si="133"/>
        <v>3</v>
      </c>
      <c r="EG29" s="23"/>
      <c r="EH29" s="8">
        <f t="shared" si="32"/>
        <v>13</v>
      </c>
      <c r="EI29" s="2">
        <v>3</v>
      </c>
      <c r="EJ29" s="2">
        <v>1</v>
      </c>
      <c r="EK29" s="24">
        <f t="shared" si="33"/>
        <v>4</v>
      </c>
      <c r="EL29" s="23"/>
      <c r="EM29" s="2">
        <v>4</v>
      </c>
      <c r="EN29" s="2">
        <v>2</v>
      </c>
      <c r="EO29" s="24">
        <f t="shared" si="34"/>
        <v>3</v>
      </c>
      <c r="EP29" s="23"/>
      <c r="EQ29" s="2">
        <v>4</v>
      </c>
      <c r="ER29" s="2">
        <v>0</v>
      </c>
      <c r="ES29" s="24">
        <f t="shared" si="35"/>
        <v>1</v>
      </c>
      <c r="ET29" s="23"/>
      <c r="EU29" s="2">
        <v>0</v>
      </c>
      <c r="EV29" s="2">
        <v>4</v>
      </c>
      <c r="EW29" s="24">
        <f t="shared" si="36"/>
        <v>5</v>
      </c>
      <c r="EX29" s="23"/>
      <c r="EY29" s="8">
        <f t="shared" si="37"/>
        <v>13</v>
      </c>
      <c r="EZ29" s="2">
        <v>4</v>
      </c>
      <c r="FA29" s="2">
        <v>1</v>
      </c>
      <c r="FB29" s="24"/>
      <c r="FC29" s="23"/>
      <c r="FD29" s="2">
        <v>3</v>
      </c>
      <c r="FE29" s="2">
        <v>0</v>
      </c>
      <c r="FF29" s="24"/>
      <c r="FG29" s="23"/>
      <c r="FH29" s="2">
        <v>3</v>
      </c>
      <c r="FI29" s="2">
        <v>0</v>
      </c>
      <c r="FJ29" s="24"/>
      <c r="FK29" s="23"/>
      <c r="FL29" s="2">
        <v>0</v>
      </c>
      <c r="FM29" s="2">
        <v>2</v>
      </c>
      <c r="FN29" s="24"/>
      <c r="FO29" s="23"/>
      <c r="FP29" s="8">
        <f t="shared" si="38"/>
        <v>0</v>
      </c>
      <c r="FQ29" s="2"/>
      <c r="FR29" s="2"/>
      <c r="FS29" s="24">
        <f t="shared" si="39"/>
        <v>0</v>
      </c>
      <c r="FT29" s="23"/>
      <c r="FU29" s="2"/>
      <c r="FV29" s="2"/>
      <c r="FW29" s="24">
        <f t="shared" si="40"/>
        <v>0</v>
      </c>
      <c r="FX29" s="23"/>
      <c r="FY29" s="2"/>
      <c r="FZ29" s="2"/>
      <c r="GA29" s="24">
        <f t="shared" si="41"/>
        <v>0</v>
      </c>
      <c r="GB29" s="23"/>
      <c r="GC29" s="2"/>
      <c r="GD29" s="2"/>
      <c r="GE29" s="24">
        <f t="shared" si="42"/>
        <v>0</v>
      </c>
      <c r="GF29" s="23"/>
      <c r="GG29" s="8">
        <f t="shared" si="43"/>
        <v>0</v>
      </c>
      <c r="GH29" s="2"/>
      <c r="GI29" s="2"/>
      <c r="GJ29" s="24">
        <f t="shared" si="44"/>
        <v>0</v>
      </c>
      <c r="GK29" s="23"/>
      <c r="GL29" s="2"/>
      <c r="GM29" s="2"/>
      <c r="GN29" s="24">
        <f t="shared" si="45"/>
        <v>0</v>
      </c>
      <c r="GO29" s="23"/>
      <c r="GP29" s="2"/>
      <c r="GQ29" s="2"/>
      <c r="GR29" s="24">
        <f t="shared" si="46"/>
        <v>0</v>
      </c>
      <c r="GS29" s="23"/>
      <c r="GT29" s="2"/>
      <c r="GU29" s="2"/>
      <c r="GV29" s="24">
        <f t="shared" si="47"/>
        <v>0</v>
      </c>
      <c r="GW29" s="23"/>
      <c r="GX29" s="8">
        <f t="shared" si="48"/>
        <v>0</v>
      </c>
      <c r="GY29" s="2"/>
      <c r="GZ29" s="2"/>
      <c r="HA29" s="24">
        <f t="shared" si="49"/>
        <v>0</v>
      </c>
      <c r="HB29" s="23"/>
      <c r="HC29" s="2"/>
      <c r="HD29" s="2"/>
      <c r="HE29" s="24">
        <f t="shared" si="50"/>
        <v>0</v>
      </c>
      <c r="HF29" s="23"/>
      <c r="HG29" s="2"/>
      <c r="HH29" s="2"/>
      <c r="HI29" s="24">
        <f t="shared" si="51"/>
        <v>0</v>
      </c>
      <c r="HJ29" s="23"/>
      <c r="HK29" s="2"/>
      <c r="HL29" s="2"/>
      <c r="HM29" s="24">
        <f t="shared" si="52"/>
        <v>0</v>
      </c>
      <c r="HN29" s="23"/>
      <c r="HO29" s="2"/>
      <c r="HP29" s="2"/>
      <c r="HQ29" s="24">
        <f t="shared" si="53"/>
        <v>0</v>
      </c>
      <c r="HR29" s="23"/>
      <c r="HS29" s="2"/>
      <c r="HT29" s="2"/>
      <c r="HU29" s="24">
        <f t="shared" si="54"/>
        <v>0</v>
      </c>
      <c r="HV29" s="23"/>
      <c r="HW29" s="8">
        <f t="shared" si="55"/>
        <v>0</v>
      </c>
      <c r="HX29" s="2"/>
      <c r="HY29" s="2"/>
      <c r="HZ29" s="24">
        <f t="shared" si="56"/>
        <v>0</v>
      </c>
      <c r="IA29" s="23"/>
      <c r="IB29" s="2"/>
      <c r="IC29" s="2"/>
      <c r="ID29" s="24">
        <f t="shared" si="57"/>
        <v>0</v>
      </c>
      <c r="IE29" s="23"/>
      <c r="IF29" s="2"/>
      <c r="IG29" s="2"/>
      <c r="IH29" s="24">
        <f t="shared" si="58"/>
        <v>0</v>
      </c>
      <c r="II29" s="23"/>
      <c r="IJ29" s="2"/>
      <c r="IK29" s="2"/>
      <c r="IL29" s="24">
        <f t="shared" si="59"/>
        <v>0</v>
      </c>
      <c r="IM29" s="23"/>
      <c r="IN29" s="2"/>
      <c r="IO29" s="2"/>
      <c r="IP29" s="24">
        <f t="shared" si="60"/>
        <v>0</v>
      </c>
      <c r="IQ29" s="23"/>
      <c r="IR29" s="2"/>
      <c r="IS29" s="2"/>
      <c r="IT29" s="24">
        <f t="shared" si="61"/>
        <v>0</v>
      </c>
      <c r="IU29" s="23"/>
      <c r="IV29" s="8">
        <f t="shared" si="62"/>
        <v>0</v>
      </c>
      <c r="IW29" s="2"/>
      <c r="IX29" s="2"/>
      <c r="IY29" s="24">
        <f t="shared" si="63"/>
        <v>0</v>
      </c>
      <c r="IZ29" s="23"/>
      <c r="JA29" s="2"/>
      <c r="JB29" s="2"/>
      <c r="JC29" s="24">
        <f t="shared" si="64"/>
        <v>0</v>
      </c>
      <c r="JD29" s="23"/>
      <c r="JE29" s="2"/>
      <c r="JF29" s="2"/>
      <c r="JG29" s="24">
        <f t="shared" si="65"/>
        <v>0</v>
      </c>
      <c r="JH29" s="23"/>
      <c r="JI29" s="2"/>
      <c r="JJ29" s="2"/>
      <c r="JK29" s="24">
        <f t="shared" si="66"/>
        <v>0</v>
      </c>
      <c r="JL29" s="23"/>
      <c r="JM29" s="2"/>
      <c r="JN29" s="2"/>
      <c r="JO29" s="24">
        <f t="shared" si="67"/>
        <v>0</v>
      </c>
      <c r="JP29" s="23"/>
      <c r="JQ29" s="2"/>
      <c r="JR29" s="2"/>
      <c r="JS29" s="24">
        <f t="shared" si="68"/>
        <v>0</v>
      </c>
      <c r="JT29" s="23"/>
      <c r="JU29" s="8">
        <f t="shared" si="69"/>
        <v>0</v>
      </c>
      <c r="JV29" s="2"/>
      <c r="JW29" s="2"/>
      <c r="JX29" s="24">
        <f t="shared" si="70"/>
        <v>0</v>
      </c>
      <c r="JY29" s="23"/>
      <c r="JZ29" s="2"/>
      <c r="KA29" s="2"/>
      <c r="KB29" s="24">
        <f t="shared" si="71"/>
        <v>0</v>
      </c>
      <c r="KC29" s="23"/>
      <c r="KD29" s="2"/>
      <c r="KE29" s="2"/>
      <c r="KF29" s="24">
        <f t="shared" si="72"/>
        <v>0</v>
      </c>
      <c r="KG29" s="23"/>
      <c r="KH29" s="2"/>
      <c r="KI29" s="2"/>
      <c r="KJ29" s="24">
        <f t="shared" si="73"/>
        <v>0</v>
      </c>
      <c r="KK29" s="23"/>
      <c r="KL29" s="2"/>
      <c r="KM29" s="2"/>
      <c r="KN29" s="24">
        <f t="shared" si="74"/>
        <v>0</v>
      </c>
      <c r="KO29" s="23"/>
      <c r="KP29" s="2"/>
      <c r="KQ29" s="2"/>
      <c r="KR29" s="24">
        <f t="shared" si="75"/>
        <v>0</v>
      </c>
      <c r="KS29" s="23"/>
      <c r="KT29" s="8">
        <f t="shared" si="76"/>
        <v>0</v>
      </c>
      <c r="KU29" s="2"/>
      <c r="KV29" s="2"/>
      <c r="KW29" s="24">
        <f t="shared" si="77"/>
        <v>0</v>
      </c>
      <c r="KX29" s="23"/>
      <c r="KY29" s="8">
        <f t="shared" si="78"/>
        <v>0</v>
      </c>
      <c r="KZ29" s="2"/>
      <c r="LA29" s="2"/>
      <c r="LB29" s="24">
        <f t="shared" si="79"/>
        <v>0</v>
      </c>
      <c r="LC29" s="23"/>
      <c r="LD29" s="2"/>
      <c r="LE29" s="2"/>
      <c r="LF29" s="24">
        <f t="shared" si="80"/>
        <v>0</v>
      </c>
      <c r="LG29" s="23"/>
      <c r="LH29" s="2"/>
      <c r="LI29" s="2"/>
      <c r="LJ29" s="24">
        <f t="shared" si="81"/>
        <v>0</v>
      </c>
      <c r="LK29" s="23"/>
      <c r="LL29" s="8">
        <f t="shared" si="82"/>
        <v>0</v>
      </c>
      <c r="LM29" s="2"/>
      <c r="LN29" s="2"/>
      <c r="LO29" s="24">
        <f t="shared" si="83"/>
        <v>0</v>
      </c>
      <c r="LP29" s="23"/>
      <c r="LQ29" s="2"/>
      <c r="LR29" s="2"/>
      <c r="LS29" s="24">
        <f t="shared" si="84"/>
        <v>0</v>
      </c>
      <c r="LT29" s="23"/>
      <c r="LU29" s="2"/>
      <c r="LV29" s="2"/>
      <c r="LW29" s="24">
        <f t="shared" si="85"/>
        <v>0</v>
      </c>
      <c r="LX29" s="23"/>
      <c r="LY29" s="8">
        <f t="shared" si="86"/>
        <v>0</v>
      </c>
      <c r="LZ29" s="2"/>
      <c r="MA29" s="2"/>
      <c r="MB29" s="24">
        <f t="shared" si="87"/>
        <v>0</v>
      </c>
      <c r="MC29" s="23"/>
      <c r="MD29" s="2"/>
      <c r="ME29" s="2"/>
      <c r="MF29" s="24">
        <f t="shared" si="88"/>
        <v>0</v>
      </c>
      <c r="MG29" s="23"/>
      <c r="MH29" s="2"/>
      <c r="MI29" s="2"/>
      <c r="MJ29" s="24">
        <f t="shared" si="89"/>
        <v>0</v>
      </c>
      <c r="MK29" s="23"/>
      <c r="ML29" s="8">
        <f t="shared" si="90"/>
        <v>0</v>
      </c>
      <c r="MM29" s="2"/>
      <c r="MN29" s="2"/>
      <c r="MO29" s="24">
        <f t="shared" si="91"/>
        <v>0</v>
      </c>
      <c r="MP29" s="23"/>
      <c r="MQ29" s="2"/>
      <c r="MR29" s="2"/>
      <c r="MS29" s="24">
        <f t="shared" si="92"/>
        <v>0</v>
      </c>
      <c r="MT29" s="23"/>
      <c r="MU29" s="2"/>
      <c r="MV29" s="2"/>
      <c r="MW29" s="24">
        <f t="shared" si="93"/>
        <v>0</v>
      </c>
      <c r="MX29" s="23"/>
      <c r="MY29" s="8">
        <f t="shared" si="94"/>
        <v>0</v>
      </c>
      <c r="MZ29" s="2"/>
      <c r="NA29" s="2"/>
      <c r="NB29" s="24">
        <f t="shared" si="95"/>
        <v>0</v>
      </c>
      <c r="NC29" s="23"/>
      <c r="ND29" s="2"/>
      <c r="NE29" s="2"/>
      <c r="NF29" s="24">
        <f t="shared" si="96"/>
        <v>0</v>
      </c>
      <c r="NG29" s="23"/>
      <c r="NH29" s="2"/>
      <c r="NI29" s="2"/>
      <c r="NJ29" s="24">
        <f t="shared" si="97"/>
        <v>0</v>
      </c>
      <c r="NK29" s="23"/>
      <c r="NL29" s="8">
        <f t="shared" si="98"/>
        <v>0</v>
      </c>
      <c r="NM29" s="2"/>
      <c r="NN29" s="2"/>
      <c r="NO29" s="24">
        <f t="shared" si="99"/>
        <v>0</v>
      </c>
      <c r="NP29" s="23"/>
      <c r="NQ29" s="2"/>
      <c r="NR29" s="2"/>
      <c r="NS29" s="24">
        <f t="shared" si="100"/>
        <v>0</v>
      </c>
      <c r="NT29" s="23"/>
      <c r="NU29" s="8">
        <f t="shared" si="101"/>
        <v>0</v>
      </c>
      <c r="NV29" s="2"/>
      <c r="NW29" s="2"/>
      <c r="NX29" s="24">
        <f t="shared" si="102"/>
        <v>0</v>
      </c>
      <c r="NY29" s="23"/>
      <c r="NZ29" s="2"/>
      <c r="OA29" s="2"/>
      <c r="OB29" s="24">
        <f t="shared" si="103"/>
        <v>0</v>
      </c>
      <c r="OC29" s="23"/>
      <c r="OD29" s="8">
        <f t="shared" si="104"/>
        <v>0</v>
      </c>
      <c r="OE29" s="2"/>
      <c r="OF29" s="2"/>
      <c r="OG29" s="24">
        <f t="shared" si="105"/>
        <v>0</v>
      </c>
      <c r="OH29" s="23"/>
      <c r="OI29" s="2"/>
      <c r="OJ29" s="2"/>
      <c r="OK29" s="24">
        <f t="shared" si="106"/>
        <v>0</v>
      </c>
      <c r="OL29" s="23"/>
      <c r="OM29" s="8">
        <f t="shared" si="107"/>
        <v>0</v>
      </c>
      <c r="ON29" s="2"/>
      <c r="OO29" s="2"/>
      <c r="OP29" s="24">
        <f t="shared" si="108"/>
        <v>0</v>
      </c>
      <c r="OQ29" s="23"/>
      <c r="OR29" s="2"/>
      <c r="OS29" s="2"/>
      <c r="OT29" s="24">
        <f t="shared" si="109"/>
        <v>0</v>
      </c>
      <c r="OU29" s="23"/>
      <c r="OV29" s="8">
        <f t="shared" si="110"/>
        <v>0</v>
      </c>
      <c r="OW29" s="2"/>
      <c r="OX29" s="2"/>
      <c r="OY29" s="24">
        <f t="shared" si="111"/>
        <v>0</v>
      </c>
      <c r="OZ29" s="23"/>
      <c r="PA29" s="8">
        <f t="shared" si="112"/>
        <v>0</v>
      </c>
      <c r="PB29" s="2"/>
      <c r="PC29" s="2"/>
      <c r="PD29" s="24">
        <f t="shared" si="113"/>
        <v>0</v>
      </c>
      <c r="PE29" s="23"/>
      <c r="PF29" s="8">
        <f t="shared" si="114"/>
        <v>0</v>
      </c>
      <c r="PG29" s="2"/>
      <c r="PH29" s="2"/>
      <c r="PI29" s="24">
        <f t="shared" si="115"/>
        <v>0</v>
      </c>
      <c r="PJ29" s="23"/>
      <c r="PK29" s="2"/>
      <c r="PL29" s="2"/>
      <c r="PM29" s="24">
        <f t="shared" si="116"/>
        <v>0</v>
      </c>
      <c r="PN29" s="23"/>
      <c r="PO29" s="8">
        <f t="shared" si="117"/>
        <v>0</v>
      </c>
      <c r="PP29" s="2"/>
      <c r="PQ29" s="2"/>
      <c r="PR29" s="24">
        <f t="shared" si="118"/>
        <v>0</v>
      </c>
      <c r="PS29" s="23"/>
      <c r="PT29" s="8">
        <f t="shared" si="119"/>
        <v>0</v>
      </c>
      <c r="PU29" s="2"/>
      <c r="PV29" s="2"/>
      <c r="PW29" s="24">
        <f t="shared" si="120"/>
        <v>0</v>
      </c>
      <c r="PX29" s="23"/>
      <c r="PY29" s="8">
        <f t="shared" si="121"/>
        <v>0</v>
      </c>
      <c r="PZ29" s="2"/>
      <c r="QA29" s="2"/>
      <c r="QB29" s="24">
        <f t="shared" si="122"/>
        <v>0</v>
      </c>
      <c r="QC29" s="23"/>
      <c r="QD29" s="8">
        <f t="shared" si="123"/>
        <v>0</v>
      </c>
      <c r="QE29" s="2"/>
      <c r="QF29" s="2"/>
      <c r="QG29" s="24">
        <f t="shared" si="124"/>
        <v>0</v>
      </c>
      <c r="QH29" s="23"/>
      <c r="QI29" s="8">
        <f t="shared" si="125"/>
        <v>0</v>
      </c>
    </row>
    <row r="30" spans="1:451" ht="14.25" customHeight="1" x14ac:dyDescent="0.3">
      <c r="A30" s="5" t="s">
        <v>29</v>
      </c>
      <c r="B30" s="2">
        <v>3</v>
      </c>
      <c r="C30" s="2">
        <v>0</v>
      </c>
      <c r="D30" s="24">
        <f t="shared" si="0"/>
        <v>4</v>
      </c>
      <c r="E30" s="23"/>
      <c r="F30" s="2">
        <v>2</v>
      </c>
      <c r="G30" s="2">
        <v>1</v>
      </c>
      <c r="H30" s="24">
        <f t="shared" si="1"/>
        <v>5</v>
      </c>
      <c r="I30" s="23"/>
      <c r="J30" s="8">
        <f t="shared" si="2"/>
        <v>9</v>
      </c>
      <c r="K30" s="2">
        <v>3</v>
      </c>
      <c r="L30" s="2">
        <v>1</v>
      </c>
      <c r="M30" s="24">
        <f t="shared" si="3"/>
        <v>1</v>
      </c>
      <c r="N30" s="23"/>
      <c r="O30" s="2">
        <v>2</v>
      </c>
      <c r="P30" s="2">
        <v>1</v>
      </c>
      <c r="Q30" s="24">
        <f t="shared" si="4"/>
        <v>4</v>
      </c>
      <c r="R30" s="23"/>
      <c r="S30" s="8">
        <f t="shared" si="5"/>
        <v>5</v>
      </c>
      <c r="T30" s="2">
        <v>0</v>
      </c>
      <c r="U30" s="2">
        <v>4</v>
      </c>
      <c r="V30" s="24">
        <f t="shared" si="6"/>
        <v>0</v>
      </c>
      <c r="W30" s="23"/>
      <c r="X30" s="2">
        <v>2</v>
      </c>
      <c r="Y30" s="2">
        <v>2</v>
      </c>
      <c r="Z30" s="24">
        <f t="shared" si="7"/>
        <v>3</v>
      </c>
      <c r="AA30" s="23"/>
      <c r="AB30" s="2">
        <v>0</v>
      </c>
      <c r="AC30" s="2">
        <v>3</v>
      </c>
      <c r="AD30" s="24">
        <f t="shared" si="8"/>
        <v>4</v>
      </c>
      <c r="AE30" s="23"/>
      <c r="AF30" s="2">
        <v>1</v>
      </c>
      <c r="AG30" s="2">
        <v>2</v>
      </c>
      <c r="AH30" s="24">
        <f t="shared" si="9"/>
        <v>0</v>
      </c>
      <c r="AI30" s="23"/>
      <c r="AJ30" s="8">
        <f t="shared" si="10"/>
        <v>7</v>
      </c>
      <c r="AK30" s="2">
        <v>6</v>
      </c>
      <c r="AL30" s="2">
        <v>0</v>
      </c>
      <c r="AM30" s="24">
        <f t="shared" si="11"/>
        <v>3</v>
      </c>
      <c r="AN30" s="23"/>
      <c r="AO30" s="2">
        <v>2</v>
      </c>
      <c r="AP30" s="2">
        <v>1</v>
      </c>
      <c r="AQ30" s="24">
        <f t="shared" si="12"/>
        <v>1</v>
      </c>
      <c r="AR30" s="23"/>
      <c r="AS30" s="2">
        <v>1</v>
      </c>
      <c r="AT30" s="2">
        <v>1</v>
      </c>
      <c r="AU30" s="24">
        <f t="shared" si="13"/>
        <v>1</v>
      </c>
      <c r="AV30" s="23"/>
      <c r="AW30" s="2">
        <v>3</v>
      </c>
      <c r="AX30" s="2">
        <v>0</v>
      </c>
      <c r="AY30" s="24">
        <f t="shared" si="14"/>
        <v>3</v>
      </c>
      <c r="AZ30" s="23"/>
      <c r="BA30" s="8">
        <f t="shared" si="15"/>
        <v>8</v>
      </c>
      <c r="BB30" s="2">
        <v>5</v>
      </c>
      <c r="BC30" s="2">
        <v>0</v>
      </c>
      <c r="BD30" s="24">
        <f t="shared" si="16"/>
        <v>1</v>
      </c>
      <c r="BE30" s="23"/>
      <c r="BF30" s="2">
        <v>2</v>
      </c>
      <c r="BG30" s="2">
        <v>1</v>
      </c>
      <c r="BH30" s="24">
        <f t="shared" si="17"/>
        <v>1</v>
      </c>
      <c r="BI30" s="23"/>
      <c r="BJ30" s="2">
        <v>0</v>
      </c>
      <c r="BK30" s="2">
        <v>1</v>
      </c>
      <c r="BL30" s="24">
        <f t="shared" si="18"/>
        <v>1</v>
      </c>
      <c r="BM30" s="23"/>
      <c r="BN30" s="2">
        <v>2</v>
      </c>
      <c r="BO30" s="2">
        <v>1</v>
      </c>
      <c r="BP30" s="24">
        <f t="shared" si="19"/>
        <v>1</v>
      </c>
      <c r="BQ30" s="23"/>
      <c r="BR30" s="8">
        <f t="shared" si="20"/>
        <v>4</v>
      </c>
      <c r="BS30" s="2">
        <v>3</v>
      </c>
      <c r="BT30" s="2">
        <v>2</v>
      </c>
      <c r="BU30" s="24">
        <f t="shared" si="21"/>
        <v>4</v>
      </c>
      <c r="BV30" s="23"/>
      <c r="BW30" s="2">
        <v>1</v>
      </c>
      <c r="BX30" s="2">
        <v>3</v>
      </c>
      <c r="BY30" s="24">
        <f t="shared" si="22"/>
        <v>4</v>
      </c>
      <c r="BZ30" s="23"/>
      <c r="CA30" s="2">
        <v>3</v>
      </c>
      <c r="CB30" s="2">
        <v>1</v>
      </c>
      <c r="CC30" s="24">
        <f t="shared" si="23"/>
        <v>4</v>
      </c>
      <c r="CD30" s="23"/>
      <c r="CE30" s="2">
        <v>2</v>
      </c>
      <c r="CF30" s="2">
        <v>1</v>
      </c>
      <c r="CG30" s="24">
        <f t="shared" si="24"/>
        <v>4</v>
      </c>
      <c r="CH30" s="23"/>
      <c r="CI30" s="8">
        <f t="shared" si="25"/>
        <v>16</v>
      </c>
      <c r="CJ30" s="2">
        <v>3</v>
      </c>
      <c r="CK30" s="2">
        <v>0</v>
      </c>
      <c r="CL30" s="24">
        <f t="shared" si="26"/>
        <v>0</v>
      </c>
      <c r="CM30" s="23"/>
      <c r="CN30" s="2">
        <v>2</v>
      </c>
      <c r="CO30" s="2">
        <v>1</v>
      </c>
      <c r="CP30" s="24">
        <f t="shared" si="27"/>
        <v>3</v>
      </c>
      <c r="CQ30" s="23"/>
      <c r="CR30" s="2">
        <v>2</v>
      </c>
      <c r="CS30" s="2">
        <v>1</v>
      </c>
      <c r="CT30" s="24">
        <f t="shared" si="28"/>
        <v>3</v>
      </c>
      <c r="CU30" s="23"/>
      <c r="CV30" s="2">
        <v>1</v>
      </c>
      <c r="CW30" s="2">
        <v>3</v>
      </c>
      <c r="CX30" s="24">
        <f t="shared" si="29"/>
        <v>5</v>
      </c>
      <c r="CY30" s="23"/>
      <c r="CZ30" s="8">
        <f t="shared" si="30"/>
        <v>11</v>
      </c>
      <c r="DA30" s="2">
        <v>2</v>
      </c>
      <c r="DB30" s="2">
        <v>0</v>
      </c>
      <c r="DC30" s="24">
        <f t="shared" si="126"/>
        <v>0</v>
      </c>
      <c r="DD30" s="23"/>
      <c r="DE30" s="2">
        <v>2</v>
      </c>
      <c r="DF30" s="2">
        <v>1</v>
      </c>
      <c r="DG30" s="24">
        <f t="shared" si="127"/>
        <v>4</v>
      </c>
      <c r="DH30" s="23"/>
      <c r="DI30" s="2">
        <v>3</v>
      </c>
      <c r="DJ30" s="2">
        <v>0</v>
      </c>
      <c r="DK30" s="24">
        <f t="shared" si="128"/>
        <v>4</v>
      </c>
      <c r="DL30" s="23"/>
      <c r="DM30" s="2">
        <v>1</v>
      </c>
      <c r="DN30" s="2">
        <v>2</v>
      </c>
      <c r="DO30" s="24">
        <f t="shared" si="129"/>
        <v>1</v>
      </c>
      <c r="DP30" s="23"/>
      <c r="DQ30" s="8">
        <f t="shared" si="31"/>
        <v>9</v>
      </c>
      <c r="DR30" s="2">
        <v>2</v>
      </c>
      <c r="DS30" s="2">
        <v>1</v>
      </c>
      <c r="DT30" s="24">
        <f t="shared" si="130"/>
        <v>4</v>
      </c>
      <c r="DU30" s="23"/>
      <c r="DV30" s="2">
        <v>1</v>
      </c>
      <c r="DW30" s="2">
        <v>3</v>
      </c>
      <c r="DX30" s="24">
        <f t="shared" si="131"/>
        <v>3</v>
      </c>
      <c r="DY30" s="23"/>
      <c r="DZ30" s="2">
        <v>5</v>
      </c>
      <c r="EA30" s="2">
        <v>0</v>
      </c>
      <c r="EB30" s="24">
        <f t="shared" si="132"/>
        <v>4</v>
      </c>
      <c r="EC30" s="23"/>
      <c r="ED30" s="2">
        <v>1</v>
      </c>
      <c r="EE30" s="2">
        <v>1</v>
      </c>
      <c r="EF30" s="24">
        <f t="shared" si="133"/>
        <v>1</v>
      </c>
      <c r="EG30" s="23"/>
      <c r="EH30" s="8">
        <f t="shared" si="32"/>
        <v>12</v>
      </c>
      <c r="EI30" s="2">
        <v>2</v>
      </c>
      <c r="EJ30" s="2">
        <v>1</v>
      </c>
      <c r="EK30" s="24">
        <f t="shared" si="33"/>
        <v>4</v>
      </c>
      <c r="EL30" s="23"/>
      <c r="EM30" s="2">
        <v>2</v>
      </c>
      <c r="EN30" s="2">
        <v>1</v>
      </c>
      <c r="EO30" s="24">
        <f t="shared" si="34"/>
        <v>5</v>
      </c>
      <c r="EP30" s="23"/>
      <c r="EQ30" s="2">
        <v>4</v>
      </c>
      <c r="ER30" s="2">
        <v>0</v>
      </c>
      <c r="ES30" s="24">
        <f t="shared" si="35"/>
        <v>1</v>
      </c>
      <c r="ET30" s="23"/>
      <c r="EU30" s="2">
        <v>1</v>
      </c>
      <c r="EV30" s="2">
        <v>3</v>
      </c>
      <c r="EW30" s="24">
        <f t="shared" si="36"/>
        <v>3</v>
      </c>
      <c r="EX30" s="23"/>
      <c r="EY30" s="8">
        <f t="shared" si="37"/>
        <v>13</v>
      </c>
      <c r="EZ30" s="2">
        <v>2</v>
      </c>
      <c r="FA30" s="2">
        <v>1</v>
      </c>
      <c r="FB30" s="24"/>
      <c r="FC30" s="23"/>
      <c r="FD30" s="2">
        <v>3</v>
      </c>
      <c r="FE30" s="2">
        <v>1</v>
      </c>
      <c r="FF30" s="24"/>
      <c r="FG30" s="23"/>
      <c r="FH30" s="2">
        <v>2</v>
      </c>
      <c r="FI30" s="2">
        <v>0</v>
      </c>
      <c r="FJ30" s="24"/>
      <c r="FK30" s="23"/>
      <c r="FL30" s="2">
        <v>1</v>
      </c>
      <c r="FM30" s="2">
        <v>1</v>
      </c>
      <c r="FN30" s="24"/>
      <c r="FO30" s="23"/>
      <c r="FP30" s="8">
        <f t="shared" si="38"/>
        <v>0</v>
      </c>
      <c r="FQ30" s="2"/>
      <c r="FR30" s="2"/>
      <c r="FS30" s="24">
        <f t="shared" si="39"/>
        <v>0</v>
      </c>
      <c r="FT30" s="23"/>
      <c r="FU30" s="2"/>
      <c r="FV30" s="2"/>
      <c r="FW30" s="24">
        <f t="shared" si="40"/>
        <v>0</v>
      </c>
      <c r="FX30" s="23"/>
      <c r="FY30" s="2"/>
      <c r="FZ30" s="2"/>
      <c r="GA30" s="24">
        <f t="shared" si="41"/>
        <v>0</v>
      </c>
      <c r="GB30" s="23"/>
      <c r="GC30" s="2"/>
      <c r="GD30" s="2"/>
      <c r="GE30" s="24">
        <f t="shared" si="42"/>
        <v>0</v>
      </c>
      <c r="GF30" s="23"/>
      <c r="GG30" s="8">
        <f t="shared" si="43"/>
        <v>0</v>
      </c>
      <c r="GH30" s="2"/>
      <c r="GI30" s="2"/>
      <c r="GJ30" s="24">
        <f t="shared" si="44"/>
        <v>0</v>
      </c>
      <c r="GK30" s="23"/>
      <c r="GL30" s="2"/>
      <c r="GM30" s="2"/>
      <c r="GN30" s="24">
        <f t="shared" si="45"/>
        <v>0</v>
      </c>
      <c r="GO30" s="23"/>
      <c r="GP30" s="2"/>
      <c r="GQ30" s="2"/>
      <c r="GR30" s="24">
        <f t="shared" si="46"/>
        <v>0</v>
      </c>
      <c r="GS30" s="23"/>
      <c r="GT30" s="2"/>
      <c r="GU30" s="2"/>
      <c r="GV30" s="24">
        <f t="shared" si="47"/>
        <v>0</v>
      </c>
      <c r="GW30" s="23"/>
      <c r="GX30" s="8">
        <f t="shared" si="48"/>
        <v>0</v>
      </c>
      <c r="GY30" s="2"/>
      <c r="GZ30" s="2"/>
      <c r="HA30" s="24">
        <f t="shared" si="49"/>
        <v>0</v>
      </c>
      <c r="HB30" s="23"/>
      <c r="HC30" s="2"/>
      <c r="HD30" s="2"/>
      <c r="HE30" s="24">
        <f t="shared" si="50"/>
        <v>0</v>
      </c>
      <c r="HF30" s="23"/>
      <c r="HG30" s="2"/>
      <c r="HH30" s="2"/>
      <c r="HI30" s="24">
        <f t="shared" si="51"/>
        <v>0</v>
      </c>
      <c r="HJ30" s="23"/>
      <c r="HK30" s="2"/>
      <c r="HL30" s="2"/>
      <c r="HM30" s="24">
        <f t="shared" si="52"/>
        <v>0</v>
      </c>
      <c r="HN30" s="23"/>
      <c r="HO30" s="2"/>
      <c r="HP30" s="2"/>
      <c r="HQ30" s="24">
        <f t="shared" si="53"/>
        <v>0</v>
      </c>
      <c r="HR30" s="23"/>
      <c r="HS30" s="2"/>
      <c r="HT30" s="2"/>
      <c r="HU30" s="24">
        <f t="shared" si="54"/>
        <v>0</v>
      </c>
      <c r="HV30" s="23"/>
      <c r="HW30" s="8">
        <f t="shared" si="55"/>
        <v>0</v>
      </c>
      <c r="HX30" s="2"/>
      <c r="HY30" s="2"/>
      <c r="HZ30" s="24">
        <f t="shared" si="56"/>
        <v>0</v>
      </c>
      <c r="IA30" s="23"/>
      <c r="IB30" s="2"/>
      <c r="IC30" s="2"/>
      <c r="ID30" s="24">
        <f t="shared" si="57"/>
        <v>0</v>
      </c>
      <c r="IE30" s="23"/>
      <c r="IF30" s="2"/>
      <c r="IG30" s="2"/>
      <c r="IH30" s="24">
        <f t="shared" si="58"/>
        <v>0</v>
      </c>
      <c r="II30" s="23"/>
      <c r="IJ30" s="2"/>
      <c r="IK30" s="2"/>
      <c r="IL30" s="24">
        <f t="shared" si="59"/>
        <v>0</v>
      </c>
      <c r="IM30" s="23"/>
      <c r="IN30" s="2"/>
      <c r="IO30" s="2"/>
      <c r="IP30" s="24">
        <f t="shared" si="60"/>
        <v>0</v>
      </c>
      <c r="IQ30" s="23"/>
      <c r="IR30" s="2"/>
      <c r="IS30" s="2"/>
      <c r="IT30" s="24">
        <f t="shared" si="61"/>
        <v>0</v>
      </c>
      <c r="IU30" s="23"/>
      <c r="IV30" s="8">
        <f t="shared" si="62"/>
        <v>0</v>
      </c>
      <c r="IW30" s="2"/>
      <c r="IX30" s="2"/>
      <c r="IY30" s="24">
        <f t="shared" si="63"/>
        <v>0</v>
      </c>
      <c r="IZ30" s="23"/>
      <c r="JA30" s="2"/>
      <c r="JB30" s="2"/>
      <c r="JC30" s="24">
        <f t="shared" si="64"/>
        <v>0</v>
      </c>
      <c r="JD30" s="23"/>
      <c r="JE30" s="2"/>
      <c r="JF30" s="2"/>
      <c r="JG30" s="24">
        <f t="shared" si="65"/>
        <v>0</v>
      </c>
      <c r="JH30" s="23"/>
      <c r="JI30" s="2"/>
      <c r="JJ30" s="2"/>
      <c r="JK30" s="24">
        <f t="shared" si="66"/>
        <v>0</v>
      </c>
      <c r="JL30" s="23"/>
      <c r="JM30" s="2"/>
      <c r="JN30" s="2"/>
      <c r="JO30" s="24">
        <f t="shared" si="67"/>
        <v>0</v>
      </c>
      <c r="JP30" s="23"/>
      <c r="JQ30" s="2"/>
      <c r="JR30" s="2"/>
      <c r="JS30" s="24">
        <f t="shared" si="68"/>
        <v>0</v>
      </c>
      <c r="JT30" s="23"/>
      <c r="JU30" s="8">
        <f t="shared" si="69"/>
        <v>0</v>
      </c>
      <c r="JV30" s="2"/>
      <c r="JW30" s="2"/>
      <c r="JX30" s="24">
        <f t="shared" si="70"/>
        <v>0</v>
      </c>
      <c r="JY30" s="23"/>
      <c r="JZ30" s="2"/>
      <c r="KA30" s="2"/>
      <c r="KB30" s="24">
        <f t="shared" si="71"/>
        <v>0</v>
      </c>
      <c r="KC30" s="23"/>
      <c r="KD30" s="2"/>
      <c r="KE30" s="2"/>
      <c r="KF30" s="24">
        <f t="shared" si="72"/>
        <v>0</v>
      </c>
      <c r="KG30" s="23"/>
      <c r="KH30" s="2"/>
      <c r="KI30" s="2"/>
      <c r="KJ30" s="24">
        <f t="shared" si="73"/>
        <v>0</v>
      </c>
      <c r="KK30" s="23"/>
      <c r="KL30" s="2"/>
      <c r="KM30" s="2"/>
      <c r="KN30" s="24">
        <f t="shared" si="74"/>
        <v>0</v>
      </c>
      <c r="KO30" s="23"/>
      <c r="KP30" s="2"/>
      <c r="KQ30" s="2"/>
      <c r="KR30" s="24">
        <f t="shared" si="75"/>
        <v>0</v>
      </c>
      <c r="KS30" s="23"/>
      <c r="KT30" s="8">
        <f t="shared" si="76"/>
        <v>0</v>
      </c>
      <c r="KU30" s="2"/>
      <c r="KV30" s="2"/>
      <c r="KW30" s="24">
        <f t="shared" si="77"/>
        <v>0</v>
      </c>
      <c r="KX30" s="23"/>
      <c r="KY30" s="8">
        <f t="shared" si="78"/>
        <v>0</v>
      </c>
      <c r="KZ30" s="2"/>
      <c r="LA30" s="2"/>
      <c r="LB30" s="24">
        <f t="shared" si="79"/>
        <v>0</v>
      </c>
      <c r="LC30" s="23"/>
      <c r="LD30" s="2"/>
      <c r="LE30" s="2"/>
      <c r="LF30" s="24">
        <f t="shared" si="80"/>
        <v>0</v>
      </c>
      <c r="LG30" s="23"/>
      <c r="LH30" s="2"/>
      <c r="LI30" s="2"/>
      <c r="LJ30" s="24">
        <f t="shared" si="81"/>
        <v>0</v>
      </c>
      <c r="LK30" s="23"/>
      <c r="LL30" s="8">
        <f t="shared" si="82"/>
        <v>0</v>
      </c>
      <c r="LM30" s="2"/>
      <c r="LN30" s="2"/>
      <c r="LO30" s="24">
        <f t="shared" si="83"/>
        <v>0</v>
      </c>
      <c r="LP30" s="23"/>
      <c r="LQ30" s="2"/>
      <c r="LR30" s="2"/>
      <c r="LS30" s="24">
        <f t="shared" si="84"/>
        <v>0</v>
      </c>
      <c r="LT30" s="23"/>
      <c r="LU30" s="2"/>
      <c r="LV30" s="2"/>
      <c r="LW30" s="24">
        <f t="shared" si="85"/>
        <v>0</v>
      </c>
      <c r="LX30" s="23"/>
      <c r="LY30" s="8">
        <f t="shared" si="86"/>
        <v>0</v>
      </c>
      <c r="LZ30" s="2"/>
      <c r="MA30" s="2"/>
      <c r="MB30" s="24">
        <f t="shared" si="87"/>
        <v>0</v>
      </c>
      <c r="MC30" s="23"/>
      <c r="MD30" s="2"/>
      <c r="ME30" s="2"/>
      <c r="MF30" s="24">
        <f t="shared" si="88"/>
        <v>0</v>
      </c>
      <c r="MG30" s="23"/>
      <c r="MH30" s="2"/>
      <c r="MI30" s="2"/>
      <c r="MJ30" s="24">
        <f t="shared" si="89"/>
        <v>0</v>
      </c>
      <c r="MK30" s="23"/>
      <c r="ML30" s="8">
        <f t="shared" si="90"/>
        <v>0</v>
      </c>
      <c r="MM30" s="2"/>
      <c r="MN30" s="2"/>
      <c r="MO30" s="24">
        <f t="shared" si="91"/>
        <v>0</v>
      </c>
      <c r="MP30" s="23"/>
      <c r="MQ30" s="2"/>
      <c r="MR30" s="2"/>
      <c r="MS30" s="24">
        <f t="shared" si="92"/>
        <v>0</v>
      </c>
      <c r="MT30" s="23"/>
      <c r="MU30" s="2"/>
      <c r="MV30" s="2"/>
      <c r="MW30" s="24">
        <f t="shared" si="93"/>
        <v>0</v>
      </c>
      <c r="MX30" s="23"/>
      <c r="MY30" s="8">
        <f t="shared" si="94"/>
        <v>0</v>
      </c>
      <c r="MZ30" s="2"/>
      <c r="NA30" s="2"/>
      <c r="NB30" s="24">
        <f t="shared" si="95"/>
        <v>0</v>
      </c>
      <c r="NC30" s="23"/>
      <c r="ND30" s="2"/>
      <c r="NE30" s="2"/>
      <c r="NF30" s="24">
        <f t="shared" si="96"/>
        <v>0</v>
      </c>
      <c r="NG30" s="23"/>
      <c r="NH30" s="2"/>
      <c r="NI30" s="2"/>
      <c r="NJ30" s="24">
        <f t="shared" si="97"/>
        <v>0</v>
      </c>
      <c r="NK30" s="23"/>
      <c r="NL30" s="8">
        <f t="shared" si="98"/>
        <v>0</v>
      </c>
      <c r="NM30" s="2"/>
      <c r="NN30" s="2"/>
      <c r="NO30" s="24">
        <f t="shared" si="99"/>
        <v>0</v>
      </c>
      <c r="NP30" s="23"/>
      <c r="NQ30" s="2"/>
      <c r="NR30" s="2"/>
      <c r="NS30" s="24">
        <f t="shared" si="100"/>
        <v>0</v>
      </c>
      <c r="NT30" s="23"/>
      <c r="NU30" s="8">
        <f t="shared" si="101"/>
        <v>0</v>
      </c>
      <c r="NV30" s="2"/>
      <c r="NW30" s="2"/>
      <c r="NX30" s="24">
        <f t="shared" si="102"/>
        <v>0</v>
      </c>
      <c r="NY30" s="23"/>
      <c r="NZ30" s="2"/>
      <c r="OA30" s="2"/>
      <c r="OB30" s="24">
        <f t="shared" si="103"/>
        <v>0</v>
      </c>
      <c r="OC30" s="23"/>
      <c r="OD30" s="8">
        <f t="shared" si="104"/>
        <v>0</v>
      </c>
      <c r="OE30" s="2"/>
      <c r="OF30" s="2"/>
      <c r="OG30" s="24">
        <f t="shared" si="105"/>
        <v>0</v>
      </c>
      <c r="OH30" s="23"/>
      <c r="OI30" s="2"/>
      <c r="OJ30" s="2"/>
      <c r="OK30" s="24">
        <f t="shared" si="106"/>
        <v>0</v>
      </c>
      <c r="OL30" s="23"/>
      <c r="OM30" s="8">
        <f t="shared" si="107"/>
        <v>0</v>
      </c>
      <c r="ON30" s="2"/>
      <c r="OO30" s="2"/>
      <c r="OP30" s="24">
        <f t="shared" si="108"/>
        <v>0</v>
      </c>
      <c r="OQ30" s="23"/>
      <c r="OR30" s="2"/>
      <c r="OS30" s="2"/>
      <c r="OT30" s="24">
        <f t="shared" si="109"/>
        <v>0</v>
      </c>
      <c r="OU30" s="23"/>
      <c r="OV30" s="8">
        <f t="shared" si="110"/>
        <v>0</v>
      </c>
      <c r="OW30" s="2"/>
      <c r="OX30" s="2"/>
      <c r="OY30" s="24">
        <f t="shared" si="111"/>
        <v>0</v>
      </c>
      <c r="OZ30" s="23"/>
      <c r="PA30" s="8">
        <f t="shared" si="112"/>
        <v>0</v>
      </c>
      <c r="PB30" s="2"/>
      <c r="PC30" s="2"/>
      <c r="PD30" s="24">
        <f t="shared" si="113"/>
        <v>0</v>
      </c>
      <c r="PE30" s="23"/>
      <c r="PF30" s="8">
        <f t="shared" si="114"/>
        <v>0</v>
      </c>
      <c r="PG30" s="2"/>
      <c r="PH30" s="2"/>
      <c r="PI30" s="24">
        <f t="shared" si="115"/>
        <v>0</v>
      </c>
      <c r="PJ30" s="23"/>
      <c r="PK30" s="2"/>
      <c r="PL30" s="2"/>
      <c r="PM30" s="24">
        <f t="shared" si="116"/>
        <v>0</v>
      </c>
      <c r="PN30" s="23"/>
      <c r="PO30" s="8">
        <f t="shared" si="117"/>
        <v>0</v>
      </c>
      <c r="PP30" s="2"/>
      <c r="PQ30" s="2"/>
      <c r="PR30" s="24">
        <f t="shared" si="118"/>
        <v>0</v>
      </c>
      <c r="PS30" s="23"/>
      <c r="PT30" s="8">
        <f t="shared" si="119"/>
        <v>0</v>
      </c>
      <c r="PU30" s="2"/>
      <c r="PV30" s="2"/>
      <c r="PW30" s="24">
        <f t="shared" si="120"/>
        <v>0</v>
      </c>
      <c r="PX30" s="23"/>
      <c r="PY30" s="8">
        <f t="shared" si="121"/>
        <v>0</v>
      </c>
      <c r="PZ30" s="2"/>
      <c r="QA30" s="2"/>
      <c r="QB30" s="24">
        <f t="shared" si="122"/>
        <v>0</v>
      </c>
      <c r="QC30" s="23"/>
      <c r="QD30" s="8">
        <f t="shared" si="123"/>
        <v>0</v>
      </c>
      <c r="QE30" s="2"/>
      <c r="QF30" s="2"/>
      <c r="QG30" s="24">
        <f t="shared" si="124"/>
        <v>0</v>
      </c>
      <c r="QH30" s="23"/>
      <c r="QI30" s="8">
        <f t="shared" si="125"/>
        <v>0</v>
      </c>
    </row>
    <row r="31" spans="1:451" ht="14.25" customHeight="1" x14ac:dyDescent="0.3">
      <c r="A31" s="5" t="s">
        <v>30</v>
      </c>
      <c r="B31" s="2">
        <v>1</v>
      </c>
      <c r="C31" s="2">
        <v>1</v>
      </c>
      <c r="D31" s="24">
        <f t="shared" si="0"/>
        <v>0</v>
      </c>
      <c r="E31" s="23"/>
      <c r="F31" s="2">
        <v>1</v>
      </c>
      <c r="G31" s="2">
        <v>0</v>
      </c>
      <c r="H31" s="24">
        <f t="shared" si="1"/>
        <v>3</v>
      </c>
      <c r="I31" s="23"/>
      <c r="J31" s="8">
        <f t="shared" si="2"/>
        <v>3</v>
      </c>
      <c r="K31" s="2">
        <v>1</v>
      </c>
      <c r="L31" s="2">
        <v>1</v>
      </c>
      <c r="M31" s="24">
        <f t="shared" si="3"/>
        <v>5</v>
      </c>
      <c r="N31" s="23"/>
      <c r="O31" s="2">
        <v>1</v>
      </c>
      <c r="P31" s="2">
        <v>1</v>
      </c>
      <c r="Q31" s="24">
        <f t="shared" si="4"/>
        <v>1</v>
      </c>
      <c r="R31" s="23"/>
      <c r="S31" s="8">
        <f t="shared" si="5"/>
        <v>6</v>
      </c>
      <c r="T31" s="2">
        <v>0</v>
      </c>
      <c r="U31" s="2">
        <v>3</v>
      </c>
      <c r="V31" s="24">
        <f t="shared" si="6"/>
        <v>0</v>
      </c>
      <c r="W31" s="23"/>
      <c r="X31" s="2">
        <v>2</v>
      </c>
      <c r="Y31" s="2">
        <v>2</v>
      </c>
      <c r="Z31" s="24">
        <f t="shared" si="7"/>
        <v>3</v>
      </c>
      <c r="AA31" s="23"/>
      <c r="AB31" s="2">
        <v>0</v>
      </c>
      <c r="AC31" s="2">
        <v>1</v>
      </c>
      <c r="AD31" s="24">
        <f t="shared" si="8"/>
        <v>5</v>
      </c>
      <c r="AE31" s="23"/>
      <c r="AF31" s="2">
        <v>1</v>
      </c>
      <c r="AG31" s="2">
        <v>1</v>
      </c>
      <c r="AH31" s="24">
        <f t="shared" si="9"/>
        <v>0</v>
      </c>
      <c r="AI31" s="23"/>
      <c r="AJ31" s="8">
        <f t="shared" si="10"/>
        <v>8</v>
      </c>
      <c r="AK31" s="2"/>
      <c r="AL31" s="2"/>
      <c r="AM31" s="24">
        <f t="shared" si="11"/>
        <v>0</v>
      </c>
      <c r="AN31" s="23"/>
      <c r="AO31" s="2"/>
      <c r="AP31" s="2"/>
      <c r="AQ31" s="24">
        <f t="shared" si="12"/>
        <v>0</v>
      </c>
      <c r="AR31" s="23"/>
      <c r="AS31" s="2"/>
      <c r="AT31" s="2"/>
      <c r="AU31" s="24">
        <f t="shared" si="13"/>
        <v>0</v>
      </c>
      <c r="AV31" s="23"/>
      <c r="AW31" s="2"/>
      <c r="AX31" s="2"/>
      <c r="AY31" s="24">
        <f t="shared" si="14"/>
        <v>0</v>
      </c>
      <c r="AZ31" s="23"/>
      <c r="BA31" s="8">
        <f t="shared" si="15"/>
        <v>0</v>
      </c>
      <c r="BB31" s="2">
        <v>7</v>
      </c>
      <c r="BC31" s="2">
        <v>0</v>
      </c>
      <c r="BD31" s="24">
        <f t="shared" si="16"/>
        <v>1</v>
      </c>
      <c r="BE31" s="23"/>
      <c r="BF31" s="2">
        <v>2</v>
      </c>
      <c r="BG31" s="2">
        <v>0</v>
      </c>
      <c r="BH31" s="24">
        <f t="shared" si="17"/>
        <v>0</v>
      </c>
      <c r="BI31" s="23"/>
      <c r="BJ31" s="2">
        <v>1</v>
      </c>
      <c r="BK31" s="2">
        <v>1</v>
      </c>
      <c r="BL31" s="24">
        <f t="shared" si="18"/>
        <v>5</v>
      </c>
      <c r="BM31" s="23"/>
      <c r="BN31" s="2">
        <v>1</v>
      </c>
      <c r="BO31" s="2">
        <v>1</v>
      </c>
      <c r="BP31" s="24">
        <f t="shared" si="19"/>
        <v>3</v>
      </c>
      <c r="BQ31" s="23"/>
      <c r="BR31" s="8">
        <f t="shared" si="20"/>
        <v>9</v>
      </c>
      <c r="BS31" s="2">
        <v>2</v>
      </c>
      <c r="BT31" s="2">
        <v>1</v>
      </c>
      <c r="BU31" s="24">
        <f t="shared" si="21"/>
        <v>4</v>
      </c>
      <c r="BV31" s="23"/>
      <c r="BW31" s="2">
        <v>1</v>
      </c>
      <c r="BX31" s="2">
        <v>1</v>
      </c>
      <c r="BY31" s="24">
        <f t="shared" si="22"/>
        <v>1</v>
      </c>
      <c r="BZ31" s="23"/>
      <c r="CA31" s="2">
        <v>2</v>
      </c>
      <c r="CB31" s="2">
        <v>0</v>
      </c>
      <c r="CC31" s="24">
        <f t="shared" si="23"/>
        <v>4</v>
      </c>
      <c r="CD31" s="23"/>
      <c r="CE31" s="2">
        <v>2</v>
      </c>
      <c r="CF31" s="2">
        <v>1</v>
      </c>
      <c r="CG31" s="24">
        <f t="shared" si="24"/>
        <v>4</v>
      </c>
      <c r="CH31" s="23"/>
      <c r="CI31" s="8">
        <f t="shared" si="25"/>
        <v>13</v>
      </c>
      <c r="CJ31" s="2">
        <v>3</v>
      </c>
      <c r="CK31" s="2">
        <v>0</v>
      </c>
      <c r="CL31" s="24">
        <f t="shared" si="26"/>
        <v>0</v>
      </c>
      <c r="CM31" s="23"/>
      <c r="CN31" s="2">
        <v>2</v>
      </c>
      <c r="CO31" s="2">
        <v>1</v>
      </c>
      <c r="CP31" s="24">
        <f t="shared" si="27"/>
        <v>3</v>
      </c>
      <c r="CQ31" s="23"/>
      <c r="CR31" s="2">
        <v>2</v>
      </c>
      <c r="CS31" s="2">
        <v>0</v>
      </c>
      <c r="CT31" s="24">
        <f t="shared" si="28"/>
        <v>4</v>
      </c>
      <c r="CU31" s="23"/>
      <c r="CV31" s="2">
        <v>1</v>
      </c>
      <c r="CW31" s="2">
        <v>2</v>
      </c>
      <c r="CX31" s="24">
        <f t="shared" si="29"/>
        <v>4</v>
      </c>
      <c r="CY31" s="23"/>
      <c r="CZ31" s="8">
        <f t="shared" si="30"/>
        <v>11</v>
      </c>
      <c r="DA31" s="21">
        <v>2</v>
      </c>
      <c r="DB31" s="21">
        <v>1</v>
      </c>
      <c r="DC31" s="24">
        <f t="shared" si="126"/>
        <v>1</v>
      </c>
      <c r="DD31" s="23"/>
      <c r="DE31" s="21">
        <v>2</v>
      </c>
      <c r="DF31" s="21">
        <v>1</v>
      </c>
      <c r="DG31" s="24">
        <f t="shared" si="127"/>
        <v>4</v>
      </c>
      <c r="DH31" s="23"/>
      <c r="DI31" s="21">
        <v>2</v>
      </c>
      <c r="DJ31" s="21">
        <v>1</v>
      </c>
      <c r="DK31" s="24">
        <f t="shared" si="128"/>
        <v>3</v>
      </c>
      <c r="DL31" s="23"/>
      <c r="DM31" s="21">
        <v>1</v>
      </c>
      <c r="DN31" s="21">
        <v>2</v>
      </c>
      <c r="DO31" s="24">
        <f t="shared" si="129"/>
        <v>1</v>
      </c>
      <c r="DP31" s="23"/>
      <c r="DQ31" s="8">
        <v>4.5</v>
      </c>
      <c r="DR31" s="21">
        <v>3</v>
      </c>
      <c r="DS31" s="21">
        <v>1</v>
      </c>
      <c r="DT31" s="24">
        <f t="shared" si="130"/>
        <v>3</v>
      </c>
      <c r="DU31" s="23"/>
      <c r="DV31" s="21">
        <v>1</v>
      </c>
      <c r="DW31" s="21">
        <v>2</v>
      </c>
      <c r="DX31" s="24">
        <f t="shared" si="131"/>
        <v>3</v>
      </c>
      <c r="DY31" s="23"/>
      <c r="DZ31" s="21">
        <v>3</v>
      </c>
      <c r="EA31" s="21">
        <v>0</v>
      </c>
      <c r="EB31" s="24">
        <f t="shared" si="132"/>
        <v>5</v>
      </c>
      <c r="EC31" s="23"/>
      <c r="ED31" s="21">
        <v>2</v>
      </c>
      <c r="EE31" s="21">
        <v>2</v>
      </c>
      <c r="EF31" s="24">
        <f t="shared" si="133"/>
        <v>0</v>
      </c>
      <c r="EG31" s="23"/>
      <c r="EH31" s="8">
        <v>5.5</v>
      </c>
      <c r="EI31" s="2">
        <v>2</v>
      </c>
      <c r="EJ31" s="2">
        <v>1</v>
      </c>
      <c r="EK31" s="24">
        <f t="shared" si="33"/>
        <v>4</v>
      </c>
      <c r="EL31" s="23"/>
      <c r="EM31" s="2">
        <v>3</v>
      </c>
      <c r="EN31" s="2">
        <v>1</v>
      </c>
      <c r="EO31" s="24">
        <f t="shared" si="34"/>
        <v>4</v>
      </c>
      <c r="EP31" s="23"/>
      <c r="EQ31" s="2">
        <v>2</v>
      </c>
      <c r="ER31" s="2">
        <v>1</v>
      </c>
      <c r="ES31" s="24">
        <f t="shared" si="35"/>
        <v>0</v>
      </c>
      <c r="ET31" s="23"/>
      <c r="EU31" s="2">
        <v>1</v>
      </c>
      <c r="EV31" s="2">
        <v>3</v>
      </c>
      <c r="EW31" s="24">
        <f t="shared" si="36"/>
        <v>3</v>
      </c>
      <c r="EX31" s="23"/>
      <c r="EY31" s="8">
        <f t="shared" si="37"/>
        <v>11</v>
      </c>
      <c r="EZ31" s="21">
        <v>2</v>
      </c>
      <c r="FA31" s="21">
        <v>0</v>
      </c>
      <c r="FB31" s="24"/>
      <c r="FC31" s="23"/>
      <c r="FD31" s="21">
        <v>3</v>
      </c>
      <c r="FE31" s="21">
        <v>0</v>
      </c>
      <c r="FF31" s="24"/>
      <c r="FG31" s="23"/>
      <c r="FH31" s="21">
        <v>1</v>
      </c>
      <c r="FI31" s="21">
        <v>0</v>
      </c>
      <c r="FJ31" s="24"/>
      <c r="FK31" s="23"/>
      <c r="FL31" s="21">
        <v>0</v>
      </c>
      <c r="FM31" s="21">
        <v>2</v>
      </c>
      <c r="FN31" s="24"/>
      <c r="FO31" s="23"/>
      <c r="FP31" s="8">
        <f t="shared" si="38"/>
        <v>0</v>
      </c>
      <c r="FQ31" s="2"/>
      <c r="FR31" s="2"/>
      <c r="FS31" s="24">
        <f t="shared" si="39"/>
        <v>0</v>
      </c>
      <c r="FT31" s="23"/>
      <c r="FU31" s="2"/>
      <c r="FV31" s="2"/>
      <c r="FW31" s="24">
        <f t="shared" si="40"/>
        <v>0</v>
      </c>
      <c r="FX31" s="23"/>
      <c r="FY31" s="2"/>
      <c r="FZ31" s="2"/>
      <c r="GA31" s="24">
        <f t="shared" si="41"/>
        <v>0</v>
      </c>
      <c r="GB31" s="23"/>
      <c r="GC31" s="2"/>
      <c r="GD31" s="2"/>
      <c r="GE31" s="24">
        <f t="shared" si="42"/>
        <v>0</v>
      </c>
      <c r="GF31" s="23"/>
      <c r="GG31" s="8">
        <f t="shared" si="43"/>
        <v>0</v>
      </c>
      <c r="GH31" s="2"/>
      <c r="GI31" s="2"/>
      <c r="GJ31" s="24">
        <f t="shared" si="44"/>
        <v>0</v>
      </c>
      <c r="GK31" s="23"/>
      <c r="GL31" s="2"/>
      <c r="GM31" s="2"/>
      <c r="GN31" s="24">
        <f t="shared" si="45"/>
        <v>0</v>
      </c>
      <c r="GO31" s="23"/>
      <c r="GP31" s="2"/>
      <c r="GQ31" s="2"/>
      <c r="GR31" s="24">
        <f t="shared" si="46"/>
        <v>0</v>
      </c>
      <c r="GS31" s="23"/>
      <c r="GT31" s="2"/>
      <c r="GU31" s="2"/>
      <c r="GV31" s="24">
        <f t="shared" si="47"/>
        <v>0</v>
      </c>
      <c r="GW31" s="23"/>
      <c r="GX31" s="8">
        <f t="shared" si="48"/>
        <v>0</v>
      </c>
      <c r="GY31" s="2"/>
      <c r="GZ31" s="2"/>
      <c r="HA31" s="24">
        <f t="shared" si="49"/>
        <v>0</v>
      </c>
      <c r="HB31" s="23"/>
      <c r="HC31" s="2"/>
      <c r="HD31" s="2"/>
      <c r="HE31" s="24">
        <f t="shared" si="50"/>
        <v>0</v>
      </c>
      <c r="HF31" s="23"/>
      <c r="HG31" s="2"/>
      <c r="HH31" s="2"/>
      <c r="HI31" s="24">
        <f t="shared" si="51"/>
        <v>0</v>
      </c>
      <c r="HJ31" s="23"/>
      <c r="HK31" s="2"/>
      <c r="HL31" s="2"/>
      <c r="HM31" s="24">
        <f t="shared" si="52"/>
        <v>0</v>
      </c>
      <c r="HN31" s="23"/>
      <c r="HO31" s="2"/>
      <c r="HP31" s="2"/>
      <c r="HQ31" s="24">
        <f t="shared" si="53"/>
        <v>0</v>
      </c>
      <c r="HR31" s="23"/>
      <c r="HS31" s="2"/>
      <c r="HT31" s="2"/>
      <c r="HU31" s="24">
        <f t="shared" si="54"/>
        <v>0</v>
      </c>
      <c r="HV31" s="23"/>
      <c r="HW31" s="8">
        <f t="shared" si="55"/>
        <v>0</v>
      </c>
      <c r="HX31" s="2"/>
      <c r="HY31" s="2"/>
      <c r="HZ31" s="24">
        <f t="shared" si="56"/>
        <v>0</v>
      </c>
      <c r="IA31" s="23"/>
      <c r="IB31" s="2"/>
      <c r="IC31" s="2"/>
      <c r="ID31" s="24">
        <f t="shared" si="57"/>
        <v>0</v>
      </c>
      <c r="IE31" s="23"/>
      <c r="IF31" s="2"/>
      <c r="IG31" s="2"/>
      <c r="IH31" s="24">
        <f t="shared" si="58"/>
        <v>0</v>
      </c>
      <c r="II31" s="23"/>
      <c r="IJ31" s="2"/>
      <c r="IK31" s="2"/>
      <c r="IL31" s="24">
        <f t="shared" si="59"/>
        <v>0</v>
      </c>
      <c r="IM31" s="23"/>
      <c r="IN31" s="2"/>
      <c r="IO31" s="2"/>
      <c r="IP31" s="24">
        <f t="shared" si="60"/>
        <v>0</v>
      </c>
      <c r="IQ31" s="23"/>
      <c r="IR31" s="2"/>
      <c r="IS31" s="2"/>
      <c r="IT31" s="24">
        <f t="shared" si="61"/>
        <v>0</v>
      </c>
      <c r="IU31" s="23"/>
      <c r="IV31" s="8">
        <f t="shared" si="62"/>
        <v>0</v>
      </c>
      <c r="IW31" s="2"/>
      <c r="IX31" s="2"/>
      <c r="IY31" s="24">
        <f t="shared" si="63"/>
        <v>0</v>
      </c>
      <c r="IZ31" s="23"/>
      <c r="JA31" s="2"/>
      <c r="JB31" s="2"/>
      <c r="JC31" s="24">
        <f t="shared" si="64"/>
        <v>0</v>
      </c>
      <c r="JD31" s="23"/>
      <c r="JE31" s="2"/>
      <c r="JF31" s="2"/>
      <c r="JG31" s="24">
        <f t="shared" si="65"/>
        <v>0</v>
      </c>
      <c r="JH31" s="23"/>
      <c r="JI31" s="2"/>
      <c r="JJ31" s="2"/>
      <c r="JK31" s="24">
        <f t="shared" si="66"/>
        <v>0</v>
      </c>
      <c r="JL31" s="23"/>
      <c r="JM31" s="2"/>
      <c r="JN31" s="2"/>
      <c r="JO31" s="24">
        <f t="shared" si="67"/>
        <v>0</v>
      </c>
      <c r="JP31" s="23"/>
      <c r="JQ31" s="2"/>
      <c r="JR31" s="2"/>
      <c r="JS31" s="24">
        <f t="shared" si="68"/>
        <v>0</v>
      </c>
      <c r="JT31" s="23"/>
      <c r="JU31" s="8">
        <f t="shared" si="69"/>
        <v>0</v>
      </c>
      <c r="JV31" s="2"/>
      <c r="JW31" s="2"/>
      <c r="JX31" s="24">
        <f t="shared" si="70"/>
        <v>0</v>
      </c>
      <c r="JY31" s="23"/>
      <c r="JZ31" s="2"/>
      <c r="KA31" s="2"/>
      <c r="KB31" s="24">
        <f t="shared" si="71"/>
        <v>0</v>
      </c>
      <c r="KC31" s="23"/>
      <c r="KD31" s="2"/>
      <c r="KE31" s="2"/>
      <c r="KF31" s="24">
        <f t="shared" si="72"/>
        <v>0</v>
      </c>
      <c r="KG31" s="23"/>
      <c r="KH31" s="2"/>
      <c r="KI31" s="2"/>
      <c r="KJ31" s="24">
        <f t="shared" si="73"/>
        <v>0</v>
      </c>
      <c r="KK31" s="23"/>
      <c r="KL31" s="2"/>
      <c r="KM31" s="2"/>
      <c r="KN31" s="24">
        <f t="shared" si="74"/>
        <v>0</v>
      </c>
      <c r="KO31" s="23"/>
      <c r="KP31" s="2"/>
      <c r="KQ31" s="2"/>
      <c r="KR31" s="24">
        <f t="shared" si="75"/>
        <v>0</v>
      </c>
      <c r="KS31" s="23"/>
      <c r="KT31" s="8">
        <f t="shared" si="76"/>
        <v>0</v>
      </c>
      <c r="KU31" s="2"/>
      <c r="KV31" s="2"/>
      <c r="KW31" s="24">
        <f t="shared" si="77"/>
        <v>0</v>
      </c>
      <c r="KX31" s="23"/>
      <c r="KY31" s="8">
        <f t="shared" si="78"/>
        <v>0</v>
      </c>
      <c r="KZ31" s="2"/>
      <c r="LA31" s="2"/>
      <c r="LB31" s="24">
        <f t="shared" si="79"/>
        <v>0</v>
      </c>
      <c r="LC31" s="23"/>
      <c r="LD31" s="2"/>
      <c r="LE31" s="2"/>
      <c r="LF31" s="24">
        <f t="shared" si="80"/>
        <v>0</v>
      </c>
      <c r="LG31" s="23"/>
      <c r="LH31" s="2"/>
      <c r="LI31" s="2"/>
      <c r="LJ31" s="24">
        <f t="shared" si="81"/>
        <v>0</v>
      </c>
      <c r="LK31" s="23"/>
      <c r="LL31" s="8">
        <f t="shared" si="82"/>
        <v>0</v>
      </c>
      <c r="LM31" s="2"/>
      <c r="LN31" s="2"/>
      <c r="LO31" s="24">
        <f t="shared" si="83"/>
        <v>0</v>
      </c>
      <c r="LP31" s="23"/>
      <c r="LQ31" s="2"/>
      <c r="LR31" s="2"/>
      <c r="LS31" s="24">
        <f t="shared" si="84"/>
        <v>0</v>
      </c>
      <c r="LT31" s="23"/>
      <c r="LU31" s="2"/>
      <c r="LV31" s="2"/>
      <c r="LW31" s="24">
        <f t="shared" si="85"/>
        <v>0</v>
      </c>
      <c r="LX31" s="23"/>
      <c r="LY31" s="8">
        <f t="shared" si="86"/>
        <v>0</v>
      </c>
      <c r="LZ31" s="2"/>
      <c r="MA31" s="2"/>
      <c r="MB31" s="24">
        <f t="shared" si="87"/>
        <v>0</v>
      </c>
      <c r="MC31" s="23"/>
      <c r="MD31" s="2"/>
      <c r="ME31" s="2"/>
      <c r="MF31" s="24">
        <f t="shared" si="88"/>
        <v>0</v>
      </c>
      <c r="MG31" s="23"/>
      <c r="MH31" s="2"/>
      <c r="MI31" s="2"/>
      <c r="MJ31" s="24">
        <f t="shared" si="89"/>
        <v>0</v>
      </c>
      <c r="MK31" s="23"/>
      <c r="ML31" s="8">
        <f t="shared" si="90"/>
        <v>0</v>
      </c>
      <c r="MM31" s="2"/>
      <c r="MN31" s="2"/>
      <c r="MO31" s="24">
        <f t="shared" si="91"/>
        <v>0</v>
      </c>
      <c r="MP31" s="23"/>
      <c r="MQ31" s="2"/>
      <c r="MR31" s="2"/>
      <c r="MS31" s="24">
        <f t="shared" si="92"/>
        <v>0</v>
      </c>
      <c r="MT31" s="23"/>
      <c r="MU31" s="2"/>
      <c r="MV31" s="2"/>
      <c r="MW31" s="24">
        <f t="shared" si="93"/>
        <v>0</v>
      </c>
      <c r="MX31" s="23"/>
      <c r="MY31" s="8">
        <f t="shared" si="94"/>
        <v>0</v>
      </c>
      <c r="MZ31" s="2"/>
      <c r="NA31" s="2"/>
      <c r="NB31" s="24">
        <f t="shared" si="95"/>
        <v>0</v>
      </c>
      <c r="NC31" s="23"/>
      <c r="ND31" s="2"/>
      <c r="NE31" s="2"/>
      <c r="NF31" s="24">
        <f t="shared" si="96"/>
        <v>0</v>
      </c>
      <c r="NG31" s="23"/>
      <c r="NH31" s="2"/>
      <c r="NI31" s="2"/>
      <c r="NJ31" s="24">
        <f t="shared" si="97"/>
        <v>0</v>
      </c>
      <c r="NK31" s="23"/>
      <c r="NL31" s="8">
        <f t="shared" si="98"/>
        <v>0</v>
      </c>
      <c r="NM31" s="2"/>
      <c r="NN31" s="2"/>
      <c r="NO31" s="24">
        <f t="shared" si="99"/>
        <v>0</v>
      </c>
      <c r="NP31" s="23"/>
      <c r="NQ31" s="2"/>
      <c r="NR31" s="2"/>
      <c r="NS31" s="24">
        <f t="shared" si="100"/>
        <v>0</v>
      </c>
      <c r="NT31" s="23"/>
      <c r="NU31" s="8">
        <f t="shared" si="101"/>
        <v>0</v>
      </c>
      <c r="NV31" s="2"/>
      <c r="NW31" s="2"/>
      <c r="NX31" s="24">
        <f t="shared" si="102"/>
        <v>0</v>
      </c>
      <c r="NY31" s="23"/>
      <c r="NZ31" s="2"/>
      <c r="OA31" s="2"/>
      <c r="OB31" s="24">
        <f t="shared" si="103"/>
        <v>0</v>
      </c>
      <c r="OC31" s="23"/>
      <c r="OD31" s="8">
        <f t="shared" si="104"/>
        <v>0</v>
      </c>
      <c r="OE31" s="2"/>
      <c r="OF31" s="2"/>
      <c r="OG31" s="24">
        <f t="shared" si="105"/>
        <v>0</v>
      </c>
      <c r="OH31" s="23"/>
      <c r="OI31" s="2"/>
      <c r="OJ31" s="2"/>
      <c r="OK31" s="24">
        <f t="shared" si="106"/>
        <v>0</v>
      </c>
      <c r="OL31" s="23"/>
      <c r="OM31" s="8">
        <f t="shared" si="107"/>
        <v>0</v>
      </c>
      <c r="ON31" s="2"/>
      <c r="OO31" s="2"/>
      <c r="OP31" s="24">
        <f t="shared" si="108"/>
        <v>0</v>
      </c>
      <c r="OQ31" s="23"/>
      <c r="OR31" s="2"/>
      <c r="OS31" s="2"/>
      <c r="OT31" s="24">
        <f t="shared" si="109"/>
        <v>0</v>
      </c>
      <c r="OU31" s="23"/>
      <c r="OV31" s="8">
        <f t="shared" si="110"/>
        <v>0</v>
      </c>
      <c r="OW31" s="2"/>
      <c r="OX31" s="2"/>
      <c r="OY31" s="24">
        <f t="shared" si="111"/>
        <v>0</v>
      </c>
      <c r="OZ31" s="23"/>
      <c r="PA31" s="8">
        <f t="shared" si="112"/>
        <v>0</v>
      </c>
      <c r="PB31" s="2"/>
      <c r="PC31" s="2"/>
      <c r="PD31" s="24">
        <f t="shared" si="113"/>
        <v>0</v>
      </c>
      <c r="PE31" s="23"/>
      <c r="PF31" s="8">
        <f t="shared" si="114"/>
        <v>0</v>
      </c>
      <c r="PG31" s="2"/>
      <c r="PH31" s="2"/>
      <c r="PI31" s="24">
        <f t="shared" si="115"/>
        <v>0</v>
      </c>
      <c r="PJ31" s="23"/>
      <c r="PK31" s="2"/>
      <c r="PL31" s="2"/>
      <c r="PM31" s="24">
        <f t="shared" si="116"/>
        <v>0</v>
      </c>
      <c r="PN31" s="23"/>
      <c r="PO31" s="8">
        <f t="shared" si="117"/>
        <v>0</v>
      </c>
      <c r="PP31" s="2"/>
      <c r="PQ31" s="2"/>
      <c r="PR31" s="24">
        <f t="shared" si="118"/>
        <v>0</v>
      </c>
      <c r="PS31" s="23"/>
      <c r="PT31" s="8">
        <f t="shared" si="119"/>
        <v>0</v>
      </c>
      <c r="PU31" s="2"/>
      <c r="PV31" s="2"/>
      <c r="PW31" s="24">
        <f t="shared" si="120"/>
        <v>0</v>
      </c>
      <c r="PX31" s="23"/>
      <c r="PY31" s="8">
        <f t="shared" si="121"/>
        <v>0</v>
      </c>
      <c r="PZ31" s="2"/>
      <c r="QA31" s="2"/>
      <c r="QB31" s="24">
        <f t="shared" si="122"/>
        <v>0</v>
      </c>
      <c r="QC31" s="23"/>
      <c r="QD31" s="8">
        <f t="shared" si="123"/>
        <v>0</v>
      </c>
      <c r="QE31" s="2"/>
      <c r="QF31" s="2"/>
      <c r="QG31" s="24">
        <f t="shared" si="124"/>
        <v>0</v>
      </c>
      <c r="QH31" s="23"/>
      <c r="QI31" s="8">
        <f t="shared" si="125"/>
        <v>0</v>
      </c>
    </row>
    <row r="32" spans="1:451" ht="14.25" customHeight="1" x14ac:dyDescent="0.3">
      <c r="A32" s="5" t="s">
        <v>31</v>
      </c>
      <c r="B32" s="2">
        <v>2</v>
      </c>
      <c r="C32" s="2">
        <v>1</v>
      </c>
      <c r="D32" s="24">
        <f t="shared" si="0"/>
        <v>4</v>
      </c>
      <c r="E32" s="23"/>
      <c r="F32" s="2">
        <v>1</v>
      </c>
      <c r="G32" s="2">
        <v>2</v>
      </c>
      <c r="H32" s="24">
        <f t="shared" si="1"/>
        <v>0</v>
      </c>
      <c r="I32" s="23"/>
      <c r="J32" s="8">
        <f t="shared" si="2"/>
        <v>4</v>
      </c>
      <c r="K32" s="2">
        <v>1</v>
      </c>
      <c r="L32" s="2">
        <v>1</v>
      </c>
      <c r="M32" s="24">
        <f t="shared" si="3"/>
        <v>5</v>
      </c>
      <c r="N32" s="23"/>
      <c r="O32" s="2">
        <v>1</v>
      </c>
      <c r="P32" s="2">
        <v>2</v>
      </c>
      <c r="Q32" s="24">
        <f t="shared" si="4"/>
        <v>0</v>
      </c>
      <c r="R32" s="23"/>
      <c r="S32" s="8">
        <f t="shared" si="5"/>
        <v>5</v>
      </c>
      <c r="T32" s="2">
        <v>0</v>
      </c>
      <c r="U32" s="2">
        <v>3</v>
      </c>
      <c r="V32" s="24">
        <f t="shared" si="6"/>
        <v>0</v>
      </c>
      <c r="W32" s="23"/>
      <c r="X32" s="2">
        <v>2</v>
      </c>
      <c r="Y32" s="2">
        <v>1</v>
      </c>
      <c r="Z32" s="24">
        <f t="shared" si="7"/>
        <v>1</v>
      </c>
      <c r="AA32" s="23"/>
      <c r="AB32" s="2">
        <v>0</v>
      </c>
      <c r="AC32" s="2">
        <v>3</v>
      </c>
      <c r="AD32" s="24">
        <f t="shared" si="8"/>
        <v>4</v>
      </c>
      <c r="AE32" s="23"/>
      <c r="AF32" s="2">
        <v>0</v>
      </c>
      <c r="AG32" s="2">
        <v>2</v>
      </c>
      <c r="AH32" s="24">
        <f t="shared" si="9"/>
        <v>0</v>
      </c>
      <c r="AI32" s="23"/>
      <c r="AJ32" s="8">
        <f t="shared" si="10"/>
        <v>5</v>
      </c>
      <c r="AK32" s="2">
        <v>5</v>
      </c>
      <c r="AL32" s="2">
        <v>0</v>
      </c>
      <c r="AM32" s="24">
        <f t="shared" si="11"/>
        <v>3</v>
      </c>
      <c r="AN32" s="23"/>
      <c r="AO32" s="2">
        <v>2</v>
      </c>
      <c r="AP32" s="2">
        <v>1</v>
      </c>
      <c r="AQ32" s="24">
        <f t="shared" si="12"/>
        <v>1</v>
      </c>
      <c r="AR32" s="23"/>
      <c r="AS32" s="2">
        <v>1</v>
      </c>
      <c r="AT32" s="2">
        <v>2</v>
      </c>
      <c r="AU32" s="24">
        <f t="shared" si="13"/>
        <v>1</v>
      </c>
      <c r="AV32" s="23"/>
      <c r="AW32" s="2">
        <v>2</v>
      </c>
      <c r="AX32" s="2">
        <v>0</v>
      </c>
      <c r="AY32" s="24">
        <f t="shared" si="14"/>
        <v>3</v>
      </c>
      <c r="AZ32" s="23"/>
      <c r="BA32" s="8">
        <f t="shared" si="15"/>
        <v>8</v>
      </c>
      <c r="BB32" s="2">
        <v>3</v>
      </c>
      <c r="BC32" s="2">
        <v>0</v>
      </c>
      <c r="BD32" s="24">
        <f t="shared" si="16"/>
        <v>1</v>
      </c>
      <c r="BE32" s="23"/>
      <c r="BF32" s="2">
        <v>2</v>
      </c>
      <c r="BG32" s="2">
        <v>1</v>
      </c>
      <c r="BH32" s="24">
        <f t="shared" si="17"/>
        <v>1</v>
      </c>
      <c r="BI32" s="23"/>
      <c r="BJ32" s="2">
        <v>1</v>
      </c>
      <c r="BK32" s="2">
        <v>2</v>
      </c>
      <c r="BL32" s="24">
        <f t="shared" si="18"/>
        <v>1</v>
      </c>
      <c r="BM32" s="23"/>
      <c r="BN32" s="2">
        <v>1</v>
      </c>
      <c r="BO32" s="2">
        <v>1</v>
      </c>
      <c r="BP32" s="24">
        <f t="shared" si="19"/>
        <v>3</v>
      </c>
      <c r="BQ32" s="23"/>
      <c r="BR32" s="8">
        <f t="shared" si="20"/>
        <v>6</v>
      </c>
      <c r="BS32" s="2">
        <v>2</v>
      </c>
      <c r="BT32" s="2">
        <v>1</v>
      </c>
      <c r="BU32" s="24">
        <f t="shared" si="21"/>
        <v>4</v>
      </c>
      <c r="BV32" s="23"/>
      <c r="BW32" s="2">
        <v>0</v>
      </c>
      <c r="BX32" s="2">
        <v>3</v>
      </c>
      <c r="BY32" s="24">
        <f t="shared" si="22"/>
        <v>3</v>
      </c>
      <c r="BZ32" s="23"/>
      <c r="CA32" s="2">
        <v>2</v>
      </c>
      <c r="CB32" s="2">
        <v>0</v>
      </c>
      <c r="CC32" s="24">
        <f t="shared" si="23"/>
        <v>4</v>
      </c>
      <c r="CD32" s="23"/>
      <c r="CE32" s="2">
        <v>2</v>
      </c>
      <c r="CF32" s="2">
        <v>0</v>
      </c>
      <c r="CG32" s="24">
        <f t="shared" si="24"/>
        <v>3</v>
      </c>
      <c r="CH32" s="23"/>
      <c r="CI32" s="8">
        <f t="shared" si="25"/>
        <v>14</v>
      </c>
      <c r="CJ32" s="2">
        <v>2</v>
      </c>
      <c r="CK32" s="2">
        <v>1</v>
      </c>
      <c r="CL32" s="24">
        <f t="shared" si="26"/>
        <v>1</v>
      </c>
      <c r="CM32" s="23"/>
      <c r="CN32" s="2">
        <v>2</v>
      </c>
      <c r="CO32" s="2">
        <v>2</v>
      </c>
      <c r="CP32" s="24">
        <f t="shared" si="27"/>
        <v>1</v>
      </c>
      <c r="CQ32" s="23"/>
      <c r="CR32" s="2">
        <v>2</v>
      </c>
      <c r="CS32" s="2">
        <v>0</v>
      </c>
      <c r="CT32" s="24">
        <f t="shared" si="28"/>
        <v>4</v>
      </c>
      <c r="CU32" s="23"/>
      <c r="CV32" s="2">
        <v>0</v>
      </c>
      <c r="CW32" s="2">
        <v>2</v>
      </c>
      <c r="CX32" s="24">
        <f t="shared" si="29"/>
        <v>3</v>
      </c>
      <c r="CY32" s="23"/>
      <c r="CZ32" s="8">
        <f t="shared" si="30"/>
        <v>9</v>
      </c>
      <c r="DA32" s="2">
        <v>2</v>
      </c>
      <c r="DB32" s="2">
        <v>1</v>
      </c>
      <c r="DC32" s="24">
        <f t="shared" si="126"/>
        <v>1</v>
      </c>
      <c r="DD32" s="23"/>
      <c r="DE32" s="2">
        <v>2</v>
      </c>
      <c r="DF32" s="2">
        <v>1</v>
      </c>
      <c r="DG32" s="24">
        <f t="shared" si="127"/>
        <v>4</v>
      </c>
      <c r="DH32" s="23"/>
      <c r="DI32" s="2">
        <v>2</v>
      </c>
      <c r="DJ32" s="2">
        <v>1</v>
      </c>
      <c r="DK32" s="24">
        <f t="shared" si="128"/>
        <v>3</v>
      </c>
      <c r="DL32" s="23"/>
      <c r="DM32" s="2">
        <v>1</v>
      </c>
      <c r="DN32" s="2">
        <v>1</v>
      </c>
      <c r="DO32" s="24">
        <f t="shared" si="129"/>
        <v>1</v>
      </c>
      <c r="DP32" s="23"/>
      <c r="DQ32" s="8">
        <f t="shared" si="31"/>
        <v>9</v>
      </c>
      <c r="DR32" s="2">
        <v>2</v>
      </c>
      <c r="DS32" s="2">
        <v>1</v>
      </c>
      <c r="DT32" s="24">
        <f t="shared" si="130"/>
        <v>4</v>
      </c>
      <c r="DU32" s="23"/>
      <c r="DV32" s="2">
        <v>1</v>
      </c>
      <c r="DW32" s="2">
        <v>2</v>
      </c>
      <c r="DX32" s="24">
        <f t="shared" si="131"/>
        <v>3</v>
      </c>
      <c r="DY32" s="23"/>
      <c r="DZ32" s="2">
        <v>4</v>
      </c>
      <c r="EA32" s="2">
        <v>0</v>
      </c>
      <c r="EB32" s="24">
        <f t="shared" si="132"/>
        <v>4</v>
      </c>
      <c r="EC32" s="23"/>
      <c r="ED32" s="2">
        <v>2</v>
      </c>
      <c r="EE32" s="2">
        <v>1</v>
      </c>
      <c r="EF32" s="24">
        <f t="shared" si="133"/>
        <v>1</v>
      </c>
      <c r="EG32" s="23"/>
      <c r="EH32" s="8">
        <f t="shared" si="32"/>
        <v>12</v>
      </c>
      <c r="EI32" s="2">
        <v>3</v>
      </c>
      <c r="EJ32" s="2">
        <v>1</v>
      </c>
      <c r="EK32" s="24">
        <f t="shared" si="33"/>
        <v>4</v>
      </c>
      <c r="EL32" s="23"/>
      <c r="EM32" s="2">
        <v>2</v>
      </c>
      <c r="EN32" s="2">
        <v>1</v>
      </c>
      <c r="EO32" s="24">
        <f t="shared" si="34"/>
        <v>5</v>
      </c>
      <c r="EP32" s="23"/>
      <c r="EQ32" s="2">
        <v>3</v>
      </c>
      <c r="ER32" s="2">
        <v>0</v>
      </c>
      <c r="ES32" s="24">
        <f t="shared" si="35"/>
        <v>1</v>
      </c>
      <c r="ET32" s="23"/>
      <c r="EU32" s="2">
        <v>0</v>
      </c>
      <c r="EV32" s="2">
        <v>2</v>
      </c>
      <c r="EW32" s="24">
        <f t="shared" si="36"/>
        <v>4</v>
      </c>
      <c r="EX32" s="23"/>
      <c r="EY32" s="8">
        <f t="shared" si="37"/>
        <v>14</v>
      </c>
      <c r="EZ32" s="2">
        <v>3</v>
      </c>
      <c r="FA32" s="2">
        <v>0</v>
      </c>
      <c r="FB32" s="24"/>
      <c r="FC32" s="23"/>
      <c r="FD32" s="2">
        <v>2</v>
      </c>
      <c r="FE32" s="2">
        <v>0</v>
      </c>
      <c r="FF32" s="24"/>
      <c r="FG32" s="23"/>
      <c r="FH32" s="2">
        <v>2</v>
      </c>
      <c r="FI32" s="2">
        <v>1</v>
      </c>
      <c r="FJ32" s="24"/>
      <c r="FK32" s="23"/>
      <c r="FL32" s="2">
        <v>1</v>
      </c>
      <c r="FM32" s="2">
        <v>2</v>
      </c>
      <c r="FN32" s="24"/>
      <c r="FO32" s="23"/>
      <c r="FP32" s="8">
        <f t="shared" si="38"/>
        <v>0</v>
      </c>
      <c r="FQ32" s="2"/>
      <c r="FR32" s="2"/>
      <c r="FS32" s="24">
        <f t="shared" si="39"/>
        <v>0</v>
      </c>
      <c r="FT32" s="23"/>
      <c r="FU32" s="2"/>
      <c r="FV32" s="2"/>
      <c r="FW32" s="24">
        <f t="shared" si="40"/>
        <v>0</v>
      </c>
      <c r="FX32" s="23"/>
      <c r="FY32" s="2"/>
      <c r="FZ32" s="2"/>
      <c r="GA32" s="24">
        <f t="shared" si="41"/>
        <v>0</v>
      </c>
      <c r="GB32" s="23"/>
      <c r="GC32" s="2"/>
      <c r="GD32" s="2"/>
      <c r="GE32" s="24">
        <f t="shared" si="42"/>
        <v>0</v>
      </c>
      <c r="GF32" s="23"/>
      <c r="GG32" s="8">
        <f t="shared" si="43"/>
        <v>0</v>
      </c>
      <c r="GH32" s="2"/>
      <c r="GI32" s="2"/>
      <c r="GJ32" s="24">
        <f t="shared" si="44"/>
        <v>0</v>
      </c>
      <c r="GK32" s="23"/>
      <c r="GL32" s="2"/>
      <c r="GM32" s="2"/>
      <c r="GN32" s="24">
        <f t="shared" si="45"/>
        <v>0</v>
      </c>
      <c r="GO32" s="23"/>
      <c r="GP32" s="2"/>
      <c r="GQ32" s="2"/>
      <c r="GR32" s="24">
        <f t="shared" si="46"/>
        <v>0</v>
      </c>
      <c r="GS32" s="23"/>
      <c r="GT32" s="2"/>
      <c r="GU32" s="2"/>
      <c r="GV32" s="24">
        <f t="shared" si="47"/>
        <v>0</v>
      </c>
      <c r="GW32" s="23"/>
      <c r="GX32" s="8">
        <f t="shared" si="48"/>
        <v>0</v>
      </c>
      <c r="GY32" s="2"/>
      <c r="GZ32" s="2"/>
      <c r="HA32" s="24">
        <f t="shared" si="49"/>
        <v>0</v>
      </c>
      <c r="HB32" s="23"/>
      <c r="HC32" s="2"/>
      <c r="HD32" s="2"/>
      <c r="HE32" s="24">
        <f t="shared" si="50"/>
        <v>0</v>
      </c>
      <c r="HF32" s="23"/>
      <c r="HG32" s="2"/>
      <c r="HH32" s="2"/>
      <c r="HI32" s="24">
        <f t="shared" si="51"/>
        <v>0</v>
      </c>
      <c r="HJ32" s="23"/>
      <c r="HK32" s="2"/>
      <c r="HL32" s="2"/>
      <c r="HM32" s="24">
        <f t="shared" si="52"/>
        <v>0</v>
      </c>
      <c r="HN32" s="23"/>
      <c r="HO32" s="2"/>
      <c r="HP32" s="2"/>
      <c r="HQ32" s="24">
        <f t="shared" si="53"/>
        <v>0</v>
      </c>
      <c r="HR32" s="23"/>
      <c r="HS32" s="2"/>
      <c r="HT32" s="2"/>
      <c r="HU32" s="24">
        <f t="shared" si="54"/>
        <v>0</v>
      </c>
      <c r="HV32" s="23"/>
      <c r="HW32" s="8">
        <f t="shared" si="55"/>
        <v>0</v>
      </c>
      <c r="HX32" s="2"/>
      <c r="HY32" s="2"/>
      <c r="HZ32" s="24">
        <f t="shared" si="56"/>
        <v>0</v>
      </c>
      <c r="IA32" s="23"/>
      <c r="IB32" s="2"/>
      <c r="IC32" s="2"/>
      <c r="ID32" s="24">
        <f t="shared" si="57"/>
        <v>0</v>
      </c>
      <c r="IE32" s="23"/>
      <c r="IF32" s="2"/>
      <c r="IG32" s="2"/>
      <c r="IH32" s="24">
        <f t="shared" si="58"/>
        <v>0</v>
      </c>
      <c r="II32" s="23"/>
      <c r="IJ32" s="2"/>
      <c r="IK32" s="2"/>
      <c r="IL32" s="24">
        <f t="shared" si="59"/>
        <v>0</v>
      </c>
      <c r="IM32" s="23"/>
      <c r="IN32" s="2"/>
      <c r="IO32" s="2"/>
      <c r="IP32" s="24">
        <f t="shared" si="60"/>
        <v>0</v>
      </c>
      <c r="IQ32" s="23"/>
      <c r="IR32" s="2"/>
      <c r="IS32" s="2"/>
      <c r="IT32" s="24">
        <f t="shared" si="61"/>
        <v>0</v>
      </c>
      <c r="IU32" s="23"/>
      <c r="IV32" s="8">
        <f t="shared" si="62"/>
        <v>0</v>
      </c>
      <c r="IW32" s="2"/>
      <c r="IX32" s="2"/>
      <c r="IY32" s="24">
        <f t="shared" si="63"/>
        <v>0</v>
      </c>
      <c r="IZ32" s="23"/>
      <c r="JA32" s="2"/>
      <c r="JB32" s="2"/>
      <c r="JC32" s="24">
        <f t="shared" si="64"/>
        <v>0</v>
      </c>
      <c r="JD32" s="23"/>
      <c r="JE32" s="2"/>
      <c r="JF32" s="2"/>
      <c r="JG32" s="24">
        <f t="shared" si="65"/>
        <v>0</v>
      </c>
      <c r="JH32" s="23"/>
      <c r="JI32" s="2"/>
      <c r="JJ32" s="2"/>
      <c r="JK32" s="24">
        <f t="shared" si="66"/>
        <v>0</v>
      </c>
      <c r="JL32" s="23"/>
      <c r="JM32" s="2"/>
      <c r="JN32" s="2"/>
      <c r="JO32" s="24">
        <f t="shared" si="67"/>
        <v>0</v>
      </c>
      <c r="JP32" s="23"/>
      <c r="JQ32" s="2"/>
      <c r="JR32" s="2"/>
      <c r="JS32" s="24">
        <f t="shared" si="68"/>
        <v>0</v>
      </c>
      <c r="JT32" s="23"/>
      <c r="JU32" s="8">
        <f t="shared" si="69"/>
        <v>0</v>
      </c>
      <c r="JV32" s="2"/>
      <c r="JW32" s="2"/>
      <c r="JX32" s="24">
        <f t="shared" si="70"/>
        <v>0</v>
      </c>
      <c r="JY32" s="23"/>
      <c r="JZ32" s="2"/>
      <c r="KA32" s="2"/>
      <c r="KB32" s="24">
        <f t="shared" si="71"/>
        <v>0</v>
      </c>
      <c r="KC32" s="23"/>
      <c r="KD32" s="2"/>
      <c r="KE32" s="2"/>
      <c r="KF32" s="24">
        <f t="shared" si="72"/>
        <v>0</v>
      </c>
      <c r="KG32" s="23"/>
      <c r="KH32" s="2"/>
      <c r="KI32" s="2"/>
      <c r="KJ32" s="24">
        <f t="shared" si="73"/>
        <v>0</v>
      </c>
      <c r="KK32" s="23"/>
      <c r="KL32" s="2"/>
      <c r="KM32" s="2"/>
      <c r="KN32" s="24">
        <f t="shared" si="74"/>
        <v>0</v>
      </c>
      <c r="KO32" s="23"/>
      <c r="KP32" s="2"/>
      <c r="KQ32" s="2"/>
      <c r="KR32" s="24">
        <f t="shared" si="75"/>
        <v>0</v>
      </c>
      <c r="KS32" s="23"/>
      <c r="KT32" s="8">
        <f t="shared" si="76"/>
        <v>0</v>
      </c>
      <c r="KU32" s="2"/>
      <c r="KV32" s="2"/>
      <c r="KW32" s="24">
        <f t="shared" si="77"/>
        <v>0</v>
      </c>
      <c r="KX32" s="23"/>
      <c r="KY32" s="8">
        <f t="shared" si="78"/>
        <v>0</v>
      </c>
      <c r="KZ32" s="2"/>
      <c r="LA32" s="2"/>
      <c r="LB32" s="24">
        <f t="shared" si="79"/>
        <v>0</v>
      </c>
      <c r="LC32" s="23"/>
      <c r="LD32" s="2"/>
      <c r="LE32" s="2"/>
      <c r="LF32" s="24">
        <f t="shared" si="80"/>
        <v>0</v>
      </c>
      <c r="LG32" s="23"/>
      <c r="LH32" s="2"/>
      <c r="LI32" s="2"/>
      <c r="LJ32" s="24">
        <f t="shared" si="81"/>
        <v>0</v>
      </c>
      <c r="LK32" s="23"/>
      <c r="LL32" s="8">
        <f t="shared" si="82"/>
        <v>0</v>
      </c>
      <c r="LM32" s="2"/>
      <c r="LN32" s="2"/>
      <c r="LO32" s="24">
        <f t="shared" si="83"/>
        <v>0</v>
      </c>
      <c r="LP32" s="23"/>
      <c r="LQ32" s="2"/>
      <c r="LR32" s="2"/>
      <c r="LS32" s="24">
        <f t="shared" si="84"/>
        <v>0</v>
      </c>
      <c r="LT32" s="23"/>
      <c r="LU32" s="2"/>
      <c r="LV32" s="2"/>
      <c r="LW32" s="24">
        <f t="shared" si="85"/>
        <v>0</v>
      </c>
      <c r="LX32" s="23"/>
      <c r="LY32" s="8">
        <f t="shared" si="86"/>
        <v>0</v>
      </c>
      <c r="LZ32" s="2"/>
      <c r="MA32" s="2"/>
      <c r="MB32" s="24">
        <f t="shared" si="87"/>
        <v>0</v>
      </c>
      <c r="MC32" s="23"/>
      <c r="MD32" s="2"/>
      <c r="ME32" s="2"/>
      <c r="MF32" s="24">
        <f t="shared" si="88"/>
        <v>0</v>
      </c>
      <c r="MG32" s="23"/>
      <c r="MH32" s="2"/>
      <c r="MI32" s="2"/>
      <c r="MJ32" s="24">
        <f t="shared" si="89"/>
        <v>0</v>
      </c>
      <c r="MK32" s="23"/>
      <c r="ML32" s="8">
        <f t="shared" si="90"/>
        <v>0</v>
      </c>
      <c r="MM32" s="2"/>
      <c r="MN32" s="2"/>
      <c r="MO32" s="24">
        <f t="shared" si="91"/>
        <v>0</v>
      </c>
      <c r="MP32" s="23"/>
      <c r="MQ32" s="2"/>
      <c r="MR32" s="2"/>
      <c r="MS32" s="24">
        <f t="shared" si="92"/>
        <v>0</v>
      </c>
      <c r="MT32" s="23"/>
      <c r="MU32" s="2"/>
      <c r="MV32" s="2"/>
      <c r="MW32" s="24">
        <f t="shared" si="93"/>
        <v>0</v>
      </c>
      <c r="MX32" s="23"/>
      <c r="MY32" s="8">
        <f t="shared" si="94"/>
        <v>0</v>
      </c>
      <c r="MZ32" s="2"/>
      <c r="NA32" s="2"/>
      <c r="NB32" s="24">
        <f t="shared" si="95"/>
        <v>0</v>
      </c>
      <c r="NC32" s="23"/>
      <c r="ND32" s="2"/>
      <c r="NE32" s="2"/>
      <c r="NF32" s="24">
        <f t="shared" si="96"/>
        <v>0</v>
      </c>
      <c r="NG32" s="23"/>
      <c r="NH32" s="2"/>
      <c r="NI32" s="2"/>
      <c r="NJ32" s="24">
        <f t="shared" si="97"/>
        <v>0</v>
      </c>
      <c r="NK32" s="23"/>
      <c r="NL32" s="8">
        <f t="shared" si="98"/>
        <v>0</v>
      </c>
      <c r="NM32" s="2"/>
      <c r="NN32" s="2"/>
      <c r="NO32" s="24">
        <f t="shared" si="99"/>
        <v>0</v>
      </c>
      <c r="NP32" s="23"/>
      <c r="NQ32" s="2"/>
      <c r="NR32" s="2"/>
      <c r="NS32" s="24">
        <f t="shared" si="100"/>
        <v>0</v>
      </c>
      <c r="NT32" s="23"/>
      <c r="NU32" s="8">
        <f t="shared" si="101"/>
        <v>0</v>
      </c>
      <c r="NV32" s="2"/>
      <c r="NW32" s="2"/>
      <c r="NX32" s="24">
        <f t="shared" si="102"/>
        <v>0</v>
      </c>
      <c r="NY32" s="23"/>
      <c r="NZ32" s="2"/>
      <c r="OA32" s="2"/>
      <c r="OB32" s="24">
        <f t="shared" si="103"/>
        <v>0</v>
      </c>
      <c r="OC32" s="23"/>
      <c r="OD32" s="8">
        <f t="shared" si="104"/>
        <v>0</v>
      </c>
      <c r="OE32" s="2"/>
      <c r="OF32" s="2"/>
      <c r="OG32" s="24">
        <f t="shared" si="105"/>
        <v>0</v>
      </c>
      <c r="OH32" s="23"/>
      <c r="OI32" s="2"/>
      <c r="OJ32" s="2"/>
      <c r="OK32" s="24">
        <f t="shared" si="106"/>
        <v>0</v>
      </c>
      <c r="OL32" s="23"/>
      <c r="OM32" s="8">
        <f t="shared" si="107"/>
        <v>0</v>
      </c>
      <c r="ON32" s="2"/>
      <c r="OO32" s="2"/>
      <c r="OP32" s="24">
        <f t="shared" si="108"/>
        <v>0</v>
      </c>
      <c r="OQ32" s="23"/>
      <c r="OR32" s="2"/>
      <c r="OS32" s="2"/>
      <c r="OT32" s="24">
        <f t="shared" si="109"/>
        <v>0</v>
      </c>
      <c r="OU32" s="23"/>
      <c r="OV32" s="8">
        <f t="shared" si="110"/>
        <v>0</v>
      </c>
      <c r="OW32" s="2"/>
      <c r="OX32" s="2"/>
      <c r="OY32" s="24">
        <f t="shared" si="111"/>
        <v>0</v>
      </c>
      <c r="OZ32" s="23"/>
      <c r="PA32" s="8">
        <f t="shared" si="112"/>
        <v>0</v>
      </c>
      <c r="PB32" s="2"/>
      <c r="PC32" s="2"/>
      <c r="PD32" s="24">
        <f t="shared" si="113"/>
        <v>0</v>
      </c>
      <c r="PE32" s="23"/>
      <c r="PF32" s="8">
        <f t="shared" si="114"/>
        <v>0</v>
      </c>
      <c r="PG32" s="2"/>
      <c r="PH32" s="2"/>
      <c r="PI32" s="24">
        <f t="shared" si="115"/>
        <v>0</v>
      </c>
      <c r="PJ32" s="23"/>
      <c r="PK32" s="2"/>
      <c r="PL32" s="2"/>
      <c r="PM32" s="24">
        <f t="shared" si="116"/>
        <v>0</v>
      </c>
      <c r="PN32" s="23"/>
      <c r="PO32" s="8">
        <f t="shared" si="117"/>
        <v>0</v>
      </c>
      <c r="PP32" s="2"/>
      <c r="PQ32" s="2"/>
      <c r="PR32" s="24">
        <f t="shared" si="118"/>
        <v>0</v>
      </c>
      <c r="PS32" s="23"/>
      <c r="PT32" s="8">
        <f t="shared" si="119"/>
        <v>0</v>
      </c>
      <c r="PU32" s="2"/>
      <c r="PV32" s="2"/>
      <c r="PW32" s="24">
        <f t="shared" si="120"/>
        <v>0</v>
      </c>
      <c r="PX32" s="23"/>
      <c r="PY32" s="8">
        <f t="shared" si="121"/>
        <v>0</v>
      </c>
      <c r="PZ32" s="2"/>
      <c r="QA32" s="2"/>
      <c r="QB32" s="24">
        <f t="shared" si="122"/>
        <v>0</v>
      </c>
      <c r="QC32" s="23"/>
      <c r="QD32" s="8">
        <f t="shared" si="123"/>
        <v>0</v>
      </c>
      <c r="QE32" s="2"/>
      <c r="QF32" s="2"/>
      <c r="QG32" s="24">
        <f t="shared" si="124"/>
        <v>0</v>
      </c>
      <c r="QH32" s="23"/>
      <c r="QI32" s="8">
        <f t="shared" si="125"/>
        <v>0</v>
      </c>
    </row>
    <row r="33" spans="1:451" ht="14.25" customHeight="1" x14ac:dyDescent="0.3">
      <c r="A33" s="5" t="s">
        <v>32</v>
      </c>
      <c r="B33" s="2">
        <v>2</v>
      </c>
      <c r="C33" s="2">
        <v>0</v>
      </c>
      <c r="D33" s="24">
        <f t="shared" si="0"/>
        <v>5</v>
      </c>
      <c r="E33" s="23"/>
      <c r="F33" s="2">
        <v>0</v>
      </c>
      <c r="G33" s="2">
        <v>1</v>
      </c>
      <c r="H33" s="24">
        <f t="shared" si="1"/>
        <v>1</v>
      </c>
      <c r="I33" s="23"/>
      <c r="J33" s="8">
        <f t="shared" si="2"/>
        <v>6</v>
      </c>
      <c r="K33" s="2">
        <v>0</v>
      </c>
      <c r="L33" s="2">
        <v>1</v>
      </c>
      <c r="M33" s="24">
        <f t="shared" si="3"/>
        <v>1</v>
      </c>
      <c r="N33" s="23"/>
      <c r="O33" s="2">
        <v>1</v>
      </c>
      <c r="P33" s="2">
        <v>2</v>
      </c>
      <c r="Q33" s="24">
        <f t="shared" si="4"/>
        <v>0</v>
      </c>
      <c r="R33" s="23"/>
      <c r="S33" s="8">
        <f t="shared" si="5"/>
        <v>1</v>
      </c>
      <c r="T33" s="2">
        <v>0</v>
      </c>
      <c r="U33" s="2">
        <v>2</v>
      </c>
      <c r="V33" s="24">
        <f t="shared" si="6"/>
        <v>0</v>
      </c>
      <c r="W33" s="23"/>
      <c r="X33" s="2">
        <v>3</v>
      </c>
      <c r="Y33" s="2">
        <v>1</v>
      </c>
      <c r="Z33" s="24">
        <f t="shared" si="7"/>
        <v>1</v>
      </c>
      <c r="AA33" s="23"/>
      <c r="AB33" s="2">
        <v>0</v>
      </c>
      <c r="AC33" s="2">
        <v>2</v>
      </c>
      <c r="AD33" s="24">
        <f t="shared" si="8"/>
        <v>4</v>
      </c>
      <c r="AE33" s="23"/>
      <c r="AF33" s="2">
        <v>0</v>
      </c>
      <c r="AG33" s="2">
        <v>2</v>
      </c>
      <c r="AH33" s="24">
        <f t="shared" si="9"/>
        <v>0</v>
      </c>
      <c r="AI33" s="23"/>
      <c r="AJ33" s="8">
        <f t="shared" si="10"/>
        <v>5</v>
      </c>
      <c r="AK33" s="2">
        <v>4</v>
      </c>
      <c r="AL33" s="2">
        <v>0</v>
      </c>
      <c r="AM33" s="24">
        <f t="shared" si="11"/>
        <v>3</v>
      </c>
      <c r="AN33" s="23"/>
      <c r="AO33" s="2">
        <v>2</v>
      </c>
      <c r="AP33" s="2">
        <v>1</v>
      </c>
      <c r="AQ33" s="24">
        <f t="shared" si="12"/>
        <v>1</v>
      </c>
      <c r="AR33" s="23"/>
      <c r="AS33" s="2">
        <v>1</v>
      </c>
      <c r="AT33" s="2">
        <v>2</v>
      </c>
      <c r="AU33" s="24">
        <f t="shared" si="13"/>
        <v>1</v>
      </c>
      <c r="AV33" s="23"/>
      <c r="AW33" s="2">
        <v>2</v>
      </c>
      <c r="AX33" s="2">
        <v>1</v>
      </c>
      <c r="AY33" s="24">
        <f t="shared" si="14"/>
        <v>4</v>
      </c>
      <c r="AZ33" s="23"/>
      <c r="BA33" s="8">
        <f t="shared" si="15"/>
        <v>9</v>
      </c>
      <c r="BB33" s="2">
        <v>4</v>
      </c>
      <c r="BC33" s="2">
        <v>0</v>
      </c>
      <c r="BD33" s="24">
        <f t="shared" si="16"/>
        <v>1</v>
      </c>
      <c r="BE33" s="23"/>
      <c r="BF33" s="2">
        <v>2</v>
      </c>
      <c r="BG33" s="2">
        <v>1</v>
      </c>
      <c r="BH33" s="24">
        <f t="shared" si="17"/>
        <v>1</v>
      </c>
      <c r="BI33" s="23"/>
      <c r="BJ33" s="2">
        <v>1</v>
      </c>
      <c r="BK33" s="2">
        <v>2</v>
      </c>
      <c r="BL33" s="24">
        <f t="shared" si="18"/>
        <v>1</v>
      </c>
      <c r="BM33" s="23"/>
      <c r="BN33" s="2">
        <v>1</v>
      </c>
      <c r="BO33" s="2">
        <v>1</v>
      </c>
      <c r="BP33" s="24">
        <f t="shared" si="19"/>
        <v>3</v>
      </c>
      <c r="BQ33" s="23"/>
      <c r="BR33" s="8">
        <f t="shared" si="20"/>
        <v>6</v>
      </c>
      <c r="BS33" s="2">
        <v>3</v>
      </c>
      <c r="BT33" s="2">
        <v>1</v>
      </c>
      <c r="BU33" s="24">
        <f t="shared" si="21"/>
        <v>5</v>
      </c>
      <c r="BV33" s="23"/>
      <c r="BW33" s="2">
        <v>1</v>
      </c>
      <c r="BX33" s="2">
        <v>3</v>
      </c>
      <c r="BY33" s="24">
        <f t="shared" si="22"/>
        <v>4</v>
      </c>
      <c r="BZ33" s="23"/>
      <c r="CA33" s="2">
        <v>2</v>
      </c>
      <c r="CB33" s="2">
        <v>0</v>
      </c>
      <c r="CC33" s="24">
        <f t="shared" si="23"/>
        <v>4</v>
      </c>
      <c r="CD33" s="23"/>
      <c r="CE33" s="2">
        <v>2</v>
      </c>
      <c r="CF33" s="2">
        <v>1</v>
      </c>
      <c r="CG33" s="24">
        <f t="shared" si="24"/>
        <v>4</v>
      </c>
      <c r="CH33" s="23"/>
      <c r="CI33" s="8">
        <f t="shared" si="25"/>
        <v>17</v>
      </c>
      <c r="CJ33" s="2">
        <v>3</v>
      </c>
      <c r="CK33" s="2">
        <v>1</v>
      </c>
      <c r="CL33" s="24">
        <f t="shared" si="26"/>
        <v>1</v>
      </c>
      <c r="CM33" s="23"/>
      <c r="CN33" s="2">
        <v>2</v>
      </c>
      <c r="CO33" s="2">
        <v>1</v>
      </c>
      <c r="CP33" s="24">
        <f t="shared" si="27"/>
        <v>3</v>
      </c>
      <c r="CQ33" s="23"/>
      <c r="CR33" s="2">
        <v>2</v>
      </c>
      <c r="CS33" s="2">
        <v>1</v>
      </c>
      <c r="CT33" s="24">
        <f t="shared" si="28"/>
        <v>3</v>
      </c>
      <c r="CU33" s="23"/>
      <c r="CV33" s="2">
        <v>1</v>
      </c>
      <c r="CW33" s="2">
        <v>2</v>
      </c>
      <c r="CX33" s="24">
        <f t="shared" si="29"/>
        <v>4</v>
      </c>
      <c r="CY33" s="23"/>
      <c r="CZ33" s="8">
        <f t="shared" si="30"/>
        <v>11</v>
      </c>
      <c r="DA33" s="2">
        <v>2</v>
      </c>
      <c r="DB33" s="2">
        <v>1</v>
      </c>
      <c r="DC33" s="24">
        <f t="shared" si="126"/>
        <v>1</v>
      </c>
      <c r="DD33" s="23"/>
      <c r="DE33" s="2">
        <v>2</v>
      </c>
      <c r="DF33" s="2">
        <v>1</v>
      </c>
      <c r="DG33" s="24">
        <f t="shared" si="127"/>
        <v>4</v>
      </c>
      <c r="DH33" s="23"/>
      <c r="DI33" s="2">
        <v>3</v>
      </c>
      <c r="DJ33" s="2">
        <v>1</v>
      </c>
      <c r="DK33" s="24">
        <f t="shared" si="128"/>
        <v>3</v>
      </c>
      <c r="DL33" s="23"/>
      <c r="DM33" s="2">
        <v>2</v>
      </c>
      <c r="DN33" s="2">
        <v>2</v>
      </c>
      <c r="DO33" s="24">
        <f t="shared" si="129"/>
        <v>0</v>
      </c>
      <c r="DP33" s="23"/>
      <c r="DQ33" s="8">
        <f t="shared" si="31"/>
        <v>8</v>
      </c>
      <c r="DR33" s="2">
        <v>3</v>
      </c>
      <c r="DS33" s="2">
        <v>1</v>
      </c>
      <c r="DT33" s="24">
        <f t="shared" si="130"/>
        <v>3</v>
      </c>
      <c r="DU33" s="23"/>
      <c r="DV33" s="2">
        <v>2</v>
      </c>
      <c r="DW33" s="2">
        <v>3</v>
      </c>
      <c r="DX33" s="24">
        <f t="shared" si="131"/>
        <v>3</v>
      </c>
      <c r="DY33" s="23"/>
      <c r="DZ33" s="2">
        <v>3</v>
      </c>
      <c r="EA33" s="2">
        <v>0</v>
      </c>
      <c r="EB33" s="24">
        <f t="shared" si="132"/>
        <v>5</v>
      </c>
      <c r="EC33" s="23"/>
      <c r="ED33" s="2">
        <v>2</v>
      </c>
      <c r="EE33" s="2">
        <v>1</v>
      </c>
      <c r="EF33" s="24">
        <f t="shared" si="133"/>
        <v>1</v>
      </c>
      <c r="EG33" s="23"/>
      <c r="EH33" s="8">
        <f t="shared" si="32"/>
        <v>12</v>
      </c>
      <c r="EI33" s="2">
        <v>2</v>
      </c>
      <c r="EJ33" s="2">
        <v>1</v>
      </c>
      <c r="EK33" s="24">
        <f t="shared" si="33"/>
        <v>4</v>
      </c>
      <c r="EL33" s="23"/>
      <c r="EM33" s="2">
        <v>4</v>
      </c>
      <c r="EN33" s="2">
        <v>1</v>
      </c>
      <c r="EO33" s="24">
        <f t="shared" si="34"/>
        <v>4</v>
      </c>
      <c r="EP33" s="23"/>
      <c r="EQ33" s="2">
        <v>1</v>
      </c>
      <c r="ER33" s="2">
        <v>0</v>
      </c>
      <c r="ES33" s="24">
        <f t="shared" si="35"/>
        <v>1</v>
      </c>
      <c r="ET33" s="23"/>
      <c r="EU33" s="2">
        <v>1</v>
      </c>
      <c r="EV33" s="2">
        <v>2</v>
      </c>
      <c r="EW33" s="24">
        <f t="shared" si="36"/>
        <v>3</v>
      </c>
      <c r="EX33" s="23"/>
      <c r="EY33" s="8">
        <f t="shared" si="37"/>
        <v>12</v>
      </c>
      <c r="EZ33" s="2">
        <v>3</v>
      </c>
      <c r="FA33" s="2">
        <v>1</v>
      </c>
      <c r="FB33" s="24"/>
      <c r="FC33" s="23"/>
      <c r="FD33" s="2">
        <v>2</v>
      </c>
      <c r="FE33" s="2">
        <v>1</v>
      </c>
      <c r="FF33" s="24"/>
      <c r="FG33" s="23"/>
      <c r="FH33" s="2">
        <v>2</v>
      </c>
      <c r="FI33" s="2">
        <v>1</v>
      </c>
      <c r="FJ33" s="24"/>
      <c r="FK33" s="23"/>
      <c r="FL33" s="2">
        <v>1</v>
      </c>
      <c r="FM33" s="2">
        <v>2</v>
      </c>
      <c r="FN33" s="24"/>
      <c r="FO33" s="23"/>
      <c r="FP33" s="8">
        <f t="shared" si="38"/>
        <v>0</v>
      </c>
      <c r="FQ33" s="2"/>
      <c r="FR33" s="2"/>
      <c r="FS33" s="24">
        <f t="shared" si="39"/>
        <v>0</v>
      </c>
      <c r="FT33" s="23"/>
      <c r="FU33" s="2"/>
      <c r="FV33" s="2"/>
      <c r="FW33" s="24">
        <f t="shared" si="40"/>
        <v>0</v>
      </c>
      <c r="FX33" s="23"/>
      <c r="FY33" s="2"/>
      <c r="FZ33" s="2"/>
      <c r="GA33" s="24">
        <f t="shared" si="41"/>
        <v>0</v>
      </c>
      <c r="GB33" s="23"/>
      <c r="GC33" s="2"/>
      <c r="GD33" s="2"/>
      <c r="GE33" s="24">
        <f t="shared" si="42"/>
        <v>0</v>
      </c>
      <c r="GF33" s="23"/>
      <c r="GG33" s="8">
        <f t="shared" si="43"/>
        <v>0</v>
      </c>
      <c r="GH33" s="2"/>
      <c r="GI33" s="2"/>
      <c r="GJ33" s="24">
        <f t="shared" si="44"/>
        <v>0</v>
      </c>
      <c r="GK33" s="23"/>
      <c r="GL33" s="2"/>
      <c r="GM33" s="2"/>
      <c r="GN33" s="24">
        <f t="shared" si="45"/>
        <v>0</v>
      </c>
      <c r="GO33" s="23"/>
      <c r="GP33" s="2"/>
      <c r="GQ33" s="2"/>
      <c r="GR33" s="24">
        <f t="shared" si="46"/>
        <v>0</v>
      </c>
      <c r="GS33" s="23"/>
      <c r="GT33" s="2"/>
      <c r="GU33" s="2"/>
      <c r="GV33" s="24">
        <f t="shared" si="47"/>
        <v>0</v>
      </c>
      <c r="GW33" s="23"/>
      <c r="GX33" s="8">
        <f t="shared" si="48"/>
        <v>0</v>
      </c>
      <c r="GY33" s="2"/>
      <c r="GZ33" s="2"/>
      <c r="HA33" s="24">
        <f t="shared" si="49"/>
        <v>0</v>
      </c>
      <c r="HB33" s="23"/>
      <c r="HC33" s="2"/>
      <c r="HD33" s="2"/>
      <c r="HE33" s="24">
        <f t="shared" si="50"/>
        <v>0</v>
      </c>
      <c r="HF33" s="23"/>
      <c r="HG33" s="2"/>
      <c r="HH33" s="2"/>
      <c r="HI33" s="24">
        <f t="shared" si="51"/>
        <v>0</v>
      </c>
      <c r="HJ33" s="23"/>
      <c r="HK33" s="2"/>
      <c r="HL33" s="2"/>
      <c r="HM33" s="24">
        <f t="shared" si="52"/>
        <v>0</v>
      </c>
      <c r="HN33" s="23"/>
      <c r="HO33" s="2"/>
      <c r="HP33" s="2"/>
      <c r="HQ33" s="24">
        <f t="shared" si="53"/>
        <v>0</v>
      </c>
      <c r="HR33" s="23"/>
      <c r="HS33" s="2"/>
      <c r="HT33" s="2"/>
      <c r="HU33" s="24">
        <f t="shared" si="54"/>
        <v>0</v>
      </c>
      <c r="HV33" s="23"/>
      <c r="HW33" s="8">
        <f t="shared" si="55"/>
        <v>0</v>
      </c>
      <c r="HX33" s="2"/>
      <c r="HY33" s="2"/>
      <c r="HZ33" s="24">
        <f t="shared" si="56"/>
        <v>0</v>
      </c>
      <c r="IA33" s="23"/>
      <c r="IB33" s="2"/>
      <c r="IC33" s="2"/>
      <c r="ID33" s="24">
        <f t="shared" si="57"/>
        <v>0</v>
      </c>
      <c r="IE33" s="23"/>
      <c r="IF33" s="2"/>
      <c r="IG33" s="2"/>
      <c r="IH33" s="24">
        <f t="shared" si="58"/>
        <v>0</v>
      </c>
      <c r="II33" s="23"/>
      <c r="IJ33" s="2"/>
      <c r="IK33" s="2"/>
      <c r="IL33" s="24">
        <f t="shared" si="59"/>
        <v>0</v>
      </c>
      <c r="IM33" s="23"/>
      <c r="IN33" s="2"/>
      <c r="IO33" s="2"/>
      <c r="IP33" s="24">
        <f t="shared" si="60"/>
        <v>0</v>
      </c>
      <c r="IQ33" s="23"/>
      <c r="IR33" s="2"/>
      <c r="IS33" s="2"/>
      <c r="IT33" s="24">
        <f t="shared" si="61"/>
        <v>0</v>
      </c>
      <c r="IU33" s="23"/>
      <c r="IV33" s="8">
        <f t="shared" si="62"/>
        <v>0</v>
      </c>
      <c r="IW33" s="2"/>
      <c r="IX33" s="2"/>
      <c r="IY33" s="24">
        <f t="shared" si="63"/>
        <v>0</v>
      </c>
      <c r="IZ33" s="23"/>
      <c r="JA33" s="2"/>
      <c r="JB33" s="2"/>
      <c r="JC33" s="24">
        <f t="shared" si="64"/>
        <v>0</v>
      </c>
      <c r="JD33" s="23"/>
      <c r="JE33" s="2"/>
      <c r="JF33" s="2"/>
      <c r="JG33" s="24">
        <f t="shared" si="65"/>
        <v>0</v>
      </c>
      <c r="JH33" s="23"/>
      <c r="JI33" s="2"/>
      <c r="JJ33" s="2"/>
      <c r="JK33" s="24">
        <f t="shared" si="66"/>
        <v>0</v>
      </c>
      <c r="JL33" s="23"/>
      <c r="JM33" s="2"/>
      <c r="JN33" s="2"/>
      <c r="JO33" s="24">
        <f t="shared" si="67"/>
        <v>0</v>
      </c>
      <c r="JP33" s="23"/>
      <c r="JQ33" s="2"/>
      <c r="JR33" s="2"/>
      <c r="JS33" s="24">
        <f t="shared" si="68"/>
        <v>0</v>
      </c>
      <c r="JT33" s="23"/>
      <c r="JU33" s="8">
        <f t="shared" si="69"/>
        <v>0</v>
      </c>
      <c r="JV33" s="2"/>
      <c r="JW33" s="2"/>
      <c r="JX33" s="24">
        <f t="shared" si="70"/>
        <v>0</v>
      </c>
      <c r="JY33" s="23"/>
      <c r="JZ33" s="2"/>
      <c r="KA33" s="2"/>
      <c r="KB33" s="24">
        <f t="shared" si="71"/>
        <v>0</v>
      </c>
      <c r="KC33" s="23"/>
      <c r="KD33" s="2"/>
      <c r="KE33" s="2"/>
      <c r="KF33" s="24">
        <f t="shared" si="72"/>
        <v>0</v>
      </c>
      <c r="KG33" s="23"/>
      <c r="KH33" s="2"/>
      <c r="KI33" s="2"/>
      <c r="KJ33" s="24">
        <f t="shared" si="73"/>
        <v>0</v>
      </c>
      <c r="KK33" s="23"/>
      <c r="KL33" s="2"/>
      <c r="KM33" s="2"/>
      <c r="KN33" s="24">
        <f t="shared" si="74"/>
        <v>0</v>
      </c>
      <c r="KO33" s="23"/>
      <c r="KP33" s="2"/>
      <c r="KQ33" s="2"/>
      <c r="KR33" s="24">
        <f t="shared" si="75"/>
        <v>0</v>
      </c>
      <c r="KS33" s="23"/>
      <c r="KT33" s="8">
        <f t="shared" si="76"/>
        <v>0</v>
      </c>
      <c r="KU33" s="2"/>
      <c r="KV33" s="2"/>
      <c r="KW33" s="24">
        <f t="shared" si="77"/>
        <v>0</v>
      </c>
      <c r="KX33" s="23"/>
      <c r="KY33" s="8">
        <f t="shared" si="78"/>
        <v>0</v>
      </c>
      <c r="KZ33" s="2"/>
      <c r="LA33" s="2"/>
      <c r="LB33" s="24">
        <f t="shared" si="79"/>
        <v>0</v>
      </c>
      <c r="LC33" s="23"/>
      <c r="LD33" s="2"/>
      <c r="LE33" s="2"/>
      <c r="LF33" s="24">
        <f t="shared" si="80"/>
        <v>0</v>
      </c>
      <c r="LG33" s="23"/>
      <c r="LH33" s="2"/>
      <c r="LI33" s="2"/>
      <c r="LJ33" s="24">
        <f t="shared" si="81"/>
        <v>0</v>
      </c>
      <c r="LK33" s="23"/>
      <c r="LL33" s="8">
        <f t="shared" si="82"/>
        <v>0</v>
      </c>
      <c r="LM33" s="2"/>
      <c r="LN33" s="2"/>
      <c r="LO33" s="24">
        <f t="shared" si="83"/>
        <v>0</v>
      </c>
      <c r="LP33" s="23"/>
      <c r="LQ33" s="2"/>
      <c r="LR33" s="2"/>
      <c r="LS33" s="24">
        <f t="shared" si="84"/>
        <v>0</v>
      </c>
      <c r="LT33" s="23"/>
      <c r="LU33" s="2"/>
      <c r="LV33" s="2"/>
      <c r="LW33" s="24">
        <f t="shared" si="85"/>
        <v>0</v>
      </c>
      <c r="LX33" s="23"/>
      <c r="LY33" s="8">
        <f t="shared" si="86"/>
        <v>0</v>
      </c>
      <c r="LZ33" s="2"/>
      <c r="MA33" s="2"/>
      <c r="MB33" s="24">
        <f t="shared" si="87"/>
        <v>0</v>
      </c>
      <c r="MC33" s="23"/>
      <c r="MD33" s="2"/>
      <c r="ME33" s="2"/>
      <c r="MF33" s="24">
        <f t="shared" si="88"/>
        <v>0</v>
      </c>
      <c r="MG33" s="23"/>
      <c r="MH33" s="2"/>
      <c r="MI33" s="2"/>
      <c r="MJ33" s="24">
        <f t="shared" si="89"/>
        <v>0</v>
      </c>
      <c r="MK33" s="23"/>
      <c r="ML33" s="8">
        <f t="shared" si="90"/>
        <v>0</v>
      </c>
      <c r="MM33" s="2"/>
      <c r="MN33" s="2"/>
      <c r="MO33" s="24">
        <f t="shared" si="91"/>
        <v>0</v>
      </c>
      <c r="MP33" s="23"/>
      <c r="MQ33" s="2"/>
      <c r="MR33" s="2"/>
      <c r="MS33" s="24">
        <f t="shared" si="92"/>
        <v>0</v>
      </c>
      <c r="MT33" s="23"/>
      <c r="MU33" s="2"/>
      <c r="MV33" s="2"/>
      <c r="MW33" s="24">
        <f t="shared" si="93"/>
        <v>0</v>
      </c>
      <c r="MX33" s="23"/>
      <c r="MY33" s="8">
        <f t="shared" si="94"/>
        <v>0</v>
      </c>
      <c r="MZ33" s="2"/>
      <c r="NA33" s="2"/>
      <c r="NB33" s="24">
        <f t="shared" si="95"/>
        <v>0</v>
      </c>
      <c r="NC33" s="23"/>
      <c r="ND33" s="2"/>
      <c r="NE33" s="2"/>
      <c r="NF33" s="24">
        <f t="shared" si="96"/>
        <v>0</v>
      </c>
      <c r="NG33" s="23"/>
      <c r="NH33" s="2"/>
      <c r="NI33" s="2"/>
      <c r="NJ33" s="24">
        <f t="shared" si="97"/>
        <v>0</v>
      </c>
      <c r="NK33" s="23"/>
      <c r="NL33" s="8">
        <f t="shared" si="98"/>
        <v>0</v>
      </c>
      <c r="NM33" s="2"/>
      <c r="NN33" s="2"/>
      <c r="NO33" s="24">
        <f t="shared" si="99"/>
        <v>0</v>
      </c>
      <c r="NP33" s="23"/>
      <c r="NQ33" s="2"/>
      <c r="NR33" s="2"/>
      <c r="NS33" s="24">
        <f t="shared" si="100"/>
        <v>0</v>
      </c>
      <c r="NT33" s="23"/>
      <c r="NU33" s="8">
        <f t="shared" si="101"/>
        <v>0</v>
      </c>
      <c r="NV33" s="2"/>
      <c r="NW33" s="2"/>
      <c r="NX33" s="24">
        <f t="shared" si="102"/>
        <v>0</v>
      </c>
      <c r="NY33" s="23"/>
      <c r="NZ33" s="2"/>
      <c r="OA33" s="2"/>
      <c r="OB33" s="24">
        <f t="shared" si="103"/>
        <v>0</v>
      </c>
      <c r="OC33" s="23"/>
      <c r="OD33" s="8">
        <f t="shared" si="104"/>
        <v>0</v>
      </c>
      <c r="OE33" s="2"/>
      <c r="OF33" s="2"/>
      <c r="OG33" s="24">
        <f t="shared" si="105"/>
        <v>0</v>
      </c>
      <c r="OH33" s="23"/>
      <c r="OI33" s="2"/>
      <c r="OJ33" s="2"/>
      <c r="OK33" s="24">
        <f t="shared" si="106"/>
        <v>0</v>
      </c>
      <c r="OL33" s="23"/>
      <c r="OM33" s="8">
        <f t="shared" si="107"/>
        <v>0</v>
      </c>
      <c r="ON33" s="2"/>
      <c r="OO33" s="2"/>
      <c r="OP33" s="24">
        <f t="shared" si="108"/>
        <v>0</v>
      </c>
      <c r="OQ33" s="23"/>
      <c r="OR33" s="2"/>
      <c r="OS33" s="2"/>
      <c r="OT33" s="24">
        <f t="shared" si="109"/>
        <v>0</v>
      </c>
      <c r="OU33" s="23"/>
      <c r="OV33" s="8">
        <f t="shared" si="110"/>
        <v>0</v>
      </c>
      <c r="OW33" s="2"/>
      <c r="OX33" s="2"/>
      <c r="OY33" s="24">
        <f t="shared" si="111"/>
        <v>0</v>
      </c>
      <c r="OZ33" s="23"/>
      <c r="PA33" s="8">
        <f t="shared" si="112"/>
        <v>0</v>
      </c>
      <c r="PB33" s="2"/>
      <c r="PC33" s="2"/>
      <c r="PD33" s="24">
        <f t="shared" si="113"/>
        <v>0</v>
      </c>
      <c r="PE33" s="23"/>
      <c r="PF33" s="8">
        <f t="shared" si="114"/>
        <v>0</v>
      </c>
      <c r="PG33" s="2"/>
      <c r="PH33" s="2"/>
      <c r="PI33" s="24">
        <f t="shared" si="115"/>
        <v>0</v>
      </c>
      <c r="PJ33" s="23"/>
      <c r="PK33" s="2"/>
      <c r="PL33" s="2"/>
      <c r="PM33" s="24">
        <f t="shared" si="116"/>
        <v>0</v>
      </c>
      <c r="PN33" s="23"/>
      <c r="PO33" s="8">
        <f t="shared" si="117"/>
        <v>0</v>
      </c>
      <c r="PP33" s="2"/>
      <c r="PQ33" s="2"/>
      <c r="PR33" s="24">
        <f t="shared" si="118"/>
        <v>0</v>
      </c>
      <c r="PS33" s="23"/>
      <c r="PT33" s="8">
        <f t="shared" si="119"/>
        <v>0</v>
      </c>
      <c r="PU33" s="2"/>
      <c r="PV33" s="2"/>
      <c r="PW33" s="24">
        <f t="shared" si="120"/>
        <v>0</v>
      </c>
      <c r="PX33" s="23"/>
      <c r="PY33" s="8">
        <f t="shared" si="121"/>
        <v>0</v>
      </c>
      <c r="PZ33" s="2"/>
      <c r="QA33" s="2"/>
      <c r="QB33" s="24">
        <f t="shared" si="122"/>
        <v>0</v>
      </c>
      <c r="QC33" s="23"/>
      <c r="QD33" s="8">
        <f t="shared" si="123"/>
        <v>0</v>
      </c>
      <c r="QE33" s="2"/>
      <c r="QF33" s="2"/>
      <c r="QG33" s="24">
        <f t="shared" si="124"/>
        <v>0</v>
      </c>
      <c r="QH33" s="23"/>
      <c r="QI33" s="8">
        <f t="shared" si="125"/>
        <v>0</v>
      </c>
    </row>
    <row r="34" spans="1:451" ht="14.25" customHeight="1" x14ac:dyDescent="0.3">
      <c r="A34" s="5" t="s">
        <v>33</v>
      </c>
      <c r="B34" s="2">
        <v>2</v>
      </c>
      <c r="C34" s="2">
        <v>1</v>
      </c>
      <c r="D34" s="24">
        <f t="shared" si="0"/>
        <v>4</v>
      </c>
      <c r="E34" s="23"/>
      <c r="F34" s="2">
        <v>2</v>
      </c>
      <c r="G34" s="2">
        <v>1</v>
      </c>
      <c r="H34" s="24">
        <f t="shared" si="1"/>
        <v>5</v>
      </c>
      <c r="I34" s="23"/>
      <c r="J34" s="8">
        <f t="shared" si="2"/>
        <v>9</v>
      </c>
      <c r="K34" s="2">
        <v>1</v>
      </c>
      <c r="L34" s="2">
        <v>2</v>
      </c>
      <c r="M34" s="24">
        <f t="shared" si="3"/>
        <v>1</v>
      </c>
      <c r="N34" s="23"/>
      <c r="O34" s="2">
        <v>2</v>
      </c>
      <c r="P34" s="2">
        <v>0</v>
      </c>
      <c r="Q34" s="24">
        <f t="shared" si="4"/>
        <v>3</v>
      </c>
      <c r="R34" s="23"/>
      <c r="S34" s="8">
        <f t="shared" si="5"/>
        <v>4</v>
      </c>
      <c r="T34" s="2">
        <v>0</v>
      </c>
      <c r="U34" s="2">
        <v>2</v>
      </c>
      <c r="V34" s="24">
        <f t="shared" si="6"/>
        <v>0</v>
      </c>
      <c r="W34" s="23"/>
      <c r="X34" s="2">
        <v>2</v>
      </c>
      <c r="Y34" s="2">
        <v>1</v>
      </c>
      <c r="Z34" s="24">
        <f t="shared" si="7"/>
        <v>1</v>
      </c>
      <c r="AA34" s="23"/>
      <c r="AB34" s="2">
        <v>1</v>
      </c>
      <c r="AC34" s="2">
        <v>2</v>
      </c>
      <c r="AD34" s="24">
        <f t="shared" si="8"/>
        <v>3</v>
      </c>
      <c r="AE34" s="23"/>
      <c r="AF34" s="2">
        <v>1</v>
      </c>
      <c r="AG34" s="2">
        <v>2</v>
      </c>
      <c r="AH34" s="24">
        <f t="shared" si="9"/>
        <v>0</v>
      </c>
      <c r="AI34" s="23"/>
      <c r="AJ34" s="8">
        <f t="shared" si="10"/>
        <v>4</v>
      </c>
      <c r="AK34" s="2"/>
      <c r="AL34" s="2"/>
      <c r="AM34" s="24">
        <f t="shared" si="11"/>
        <v>0</v>
      </c>
      <c r="AN34" s="23"/>
      <c r="AO34" s="2"/>
      <c r="AP34" s="2"/>
      <c r="AQ34" s="24">
        <f t="shared" si="12"/>
        <v>0</v>
      </c>
      <c r="AR34" s="23"/>
      <c r="AS34" s="2"/>
      <c r="AT34" s="2"/>
      <c r="AU34" s="24">
        <f t="shared" si="13"/>
        <v>0</v>
      </c>
      <c r="AV34" s="23"/>
      <c r="AW34" s="2"/>
      <c r="AX34" s="2"/>
      <c r="AY34" s="24">
        <f t="shared" si="14"/>
        <v>0</v>
      </c>
      <c r="AZ34" s="23"/>
      <c r="BA34" s="8">
        <f t="shared" si="15"/>
        <v>0</v>
      </c>
      <c r="BB34" s="2">
        <v>5</v>
      </c>
      <c r="BC34" s="2">
        <v>1</v>
      </c>
      <c r="BD34" s="24">
        <f t="shared" si="16"/>
        <v>0</v>
      </c>
      <c r="BE34" s="23"/>
      <c r="BF34" s="2">
        <v>2</v>
      </c>
      <c r="BG34" s="2">
        <v>1</v>
      </c>
      <c r="BH34" s="24">
        <f t="shared" si="17"/>
        <v>1</v>
      </c>
      <c r="BI34" s="23"/>
      <c r="BJ34" s="2">
        <v>1</v>
      </c>
      <c r="BK34" s="2">
        <v>3</v>
      </c>
      <c r="BL34" s="24">
        <f t="shared" si="18"/>
        <v>1</v>
      </c>
      <c r="BM34" s="23"/>
      <c r="BN34" s="2">
        <v>2</v>
      </c>
      <c r="BO34" s="2">
        <v>0</v>
      </c>
      <c r="BP34" s="24">
        <f t="shared" si="19"/>
        <v>1</v>
      </c>
      <c r="BQ34" s="23"/>
      <c r="BR34" s="8">
        <f t="shared" si="20"/>
        <v>3</v>
      </c>
      <c r="BS34" s="2">
        <v>3</v>
      </c>
      <c r="BT34" s="2">
        <v>1</v>
      </c>
      <c r="BU34" s="24">
        <f t="shared" si="21"/>
        <v>5</v>
      </c>
      <c r="BV34" s="23"/>
      <c r="BW34" s="2">
        <v>1</v>
      </c>
      <c r="BX34" s="2">
        <v>3</v>
      </c>
      <c r="BY34" s="24">
        <f t="shared" si="22"/>
        <v>4</v>
      </c>
      <c r="BZ34" s="23"/>
      <c r="CA34" s="2">
        <v>2</v>
      </c>
      <c r="CB34" s="2">
        <v>0</v>
      </c>
      <c r="CC34" s="24">
        <f t="shared" si="23"/>
        <v>4</v>
      </c>
      <c r="CD34" s="23"/>
      <c r="CE34" s="2">
        <v>2</v>
      </c>
      <c r="CF34" s="2">
        <v>1</v>
      </c>
      <c r="CG34" s="24">
        <f t="shared" si="24"/>
        <v>4</v>
      </c>
      <c r="CH34" s="23"/>
      <c r="CI34" s="8">
        <f t="shared" si="25"/>
        <v>17</v>
      </c>
      <c r="CJ34" s="2">
        <v>3</v>
      </c>
      <c r="CK34" s="2">
        <v>0</v>
      </c>
      <c r="CL34" s="24">
        <f t="shared" si="26"/>
        <v>0</v>
      </c>
      <c r="CM34" s="23"/>
      <c r="CN34" s="2">
        <v>2</v>
      </c>
      <c r="CO34" s="2">
        <v>1</v>
      </c>
      <c r="CP34" s="24">
        <f t="shared" si="27"/>
        <v>3</v>
      </c>
      <c r="CQ34" s="23"/>
      <c r="CR34" s="2">
        <v>2</v>
      </c>
      <c r="CS34" s="2">
        <v>1</v>
      </c>
      <c r="CT34" s="24">
        <f t="shared" si="28"/>
        <v>3</v>
      </c>
      <c r="CU34" s="23"/>
      <c r="CV34" s="2">
        <v>1</v>
      </c>
      <c r="CW34" s="2">
        <v>3</v>
      </c>
      <c r="CX34" s="24">
        <f t="shared" si="29"/>
        <v>5</v>
      </c>
      <c r="CY34" s="23"/>
      <c r="CZ34" s="8">
        <f t="shared" si="30"/>
        <v>11</v>
      </c>
      <c r="DA34" s="2">
        <v>3</v>
      </c>
      <c r="DB34" s="2">
        <v>0</v>
      </c>
      <c r="DC34" s="24">
        <f t="shared" si="126"/>
        <v>0</v>
      </c>
      <c r="DD34" s="23"/>
      <c r="DE34" s="2">
        <v>3</v>
      </c>
      <c r="DF34" s="2">
        <v>1</v>
      </c>
      <c r="DG34" s="24">
        <f t="shared" si="127"/>
        <v>4</v>
      </c>
      <c r="DH34" s="23"/>
      <c r="DI34" s="2">
        <v>2</v>
      </c>
      <c r="DJ34" s="2">
        <v>0</v>
      </c>
      <c r="DK34" s="24">
        <f t="shared" si="128"/>
        <v>4</v>
      </c>
      <c r="DL34" s="23"/>
      <c r="DM34" s="2">
        <v>1</v>
      </c>
      <c r="DN34" s="2">
        <v>2</v>
      </c>
      <c r="DO34" s="24">
        <f t="shared" si="129"/>
        <v>1</v>
      </c>
      <c r="DP34" s="23"/>
      <c r="DQ34" s="8">
        <f t="shared" si="31"/>
        <v>9</v>
      </c>
      <c r="DR34" s="2">
        <v>3</v>
      </c>
      <c r="DS34" s="2">
        <v>1</v>
      </c>
      <c r="DT34" s="24">
        <f t="shared" si="130"/>
        <v>3</v>
      </c>
      <c r="DU34" s="23"/>
      <c r="DV34" s="2">
        <v>1</v>
      </c>
      <c r="DW34" s="2">
        <v>3</v>
      </c>
      <c r="DX34" s="24">
        <f t="shared" si="131"/>
        <v>3</v>
      </c>
      <c r="DY34" s="23"/>
      <c r="DZ34" s="2">
        <v>3</v>
      </c>
      <c r="EA34" s="2">
        <v>0</v>
      </c>
      <c r="EB34" s="24">
        <f t="shared" si="132"/>
        <v>5</v>
      </c>
      <c r="EC34" s="23"/>
      <c r="ED34" s="2">
        <v>2</v>
      </c>
      <c r="EE34" s="2">
        <v>1</v>
      </c>
      <c r="EF34" s="24">
        <f t="shared" si="133"/>
        <v>1</v>
      </c>
      <c r="EG34" s="23"/>
      <c r="EH34" s="8">
        <f t="shared" si="32"/>
        <v>12</v>
      </c>
      <c r="EI34" s="21">
        <v>2</v>
      </c>
      <c r="EJ34" s="21">
        <v>1</v>
      </c>
      <c r="EK34" s="24">
        <f t="shared" si="33"/>
        <v>4</v>
      </c>
      <c r="EL34" s="23"/>
      <c r="EM34" s="21">
        <v>3</v>
      </c>
      <c r="EN34" s="21">
        <v>1</v>
      </c>
      <c r="EO34" s="24">
        <f t="shared" si="34"/>
        <v>4</v>
      </c>
      <c r="EP34" s="23"/>
      <c r="EQ34" s="21">
        <v>4</v>
      </c>
      <c r="ER34" s="21">
        <v>0</v>
      </c>
      <c r="ES34" s="24">
        <f t="shared" si="35"/>
        <v>1</v>
      </c>
      <c r="ET34" s="23"/>
      <c r="EU34" s="21">
        <v>0</v>
      </c>
      <c r="EV34" s="21">
        <v>2</v>
      </c>
      <c r="EW34" s="24">
        <f t="shared" si="36"/>
        <v>4</v>
      </c>
      <c r="EX34" s="23"/>
      <c r="EY34" s="8">
        <v>6.5</v>
      </c>
      <c r="EZ34" s="2">
        <v>3</v>
      </c>
      <c r="FA34" s="2">
        <v>1</v>
      </c>
      <c r="FB34" s="24"/>
      <c r="FC34" s="23"/>
      <c r="FD34" s="2">
        <v>2</v>
      </c>
      <c r="FE34" s="2">
        <v>1</v>
      </c>
      <c r="FF34" s="24"/>
      <c r="FG34" s="23"/>
      <c r="FH34" s="2">
        <v>2</v>
      </c>
      <c r="FI34" s="2">
        <v>1</v>
      </c>
      <c r="FJ34" s="24"/>
      <c r="FK34" s="23"/>
      <c r="FL34" s="2">
        <v>1</v>
      </c>
      <c r="FM34" s="2">
        <v>2</v>
      </c>
      <c r="FN34" s="24"/>
      <c r="FO34" s="23"/>
      <c r="FP34" s="8">
        <f t="shared" si="38"/>
        <v>0</v>
      </c>
      <c r="FQ34" s="2"/>
      <c r="FR34" s="2"/>
      <c r="FS34" s="24">
        <f t="shared" si="39"/>
        <v>0</v>
      </c>
      <c r="FT34" s="23"/>
      <c r="FU34" s="2"/>
      <c r="FV34" s="2"/>
      <c r="FW34" s="24">
        <f t="shared" si="40"/>
        <v>0</v>
      </c>
      <c r="FX34" s="23"/>
      <c r="FY34" s="2"/>
      <c r="FZ34" s="2"/>
      <c r="GA34" s="24">
        <f t="shared" si="41"/>
        <v>0</v>
      </c>
      <c r="GB34" s="23"/>
      <c r="GC34" s="2"/>
      <c r="GD34" s="2"/>
      <c r="GE34" s="24">
        <f t="shared" si="42"/>
        <v>0</v>
      </c>
      <c r="GF34" s="23"/>
      <c r="GG34" s="8">
        <f t="shared" si="43"/>
        <v>0</v>
      </c>
      <c r="GH34" s="2"/>
      <c r="GI34" s="2"/>
      <c r="GJ34" s="24">
        <f t="shared" si="44"/>
        <v>0</v>
      </c>
      <c r="GK34" s="23"/>
      <c r="GL34" s="2"/>
      <c r="GM34" s="2"/>
      <c r="GN34" s="24">
        <f t="shared" si="45"/>
        <v>0</v>
      </c>
      <c r="GO34" s="23"/>
      <c r="GP34" s="2"/>
      <c r="GQ34" s="2"/>
      <c r="GR34" s="24">
        <f t="shared" si="46"/>
        <v>0</v>
      </c>
      <c r="GS34" s="23"/>
      <c r="GT34" s="2"/>
      <c r="GU34" s="2"/>
      <c r="GV34" s="24">
        <f t="shared" si="47"/>
        <v>0</v>
      </c>
      <c r="GW34" s="23"/>
      <c r="GX34" s="8">
        <f t="shared" si="48"/>
        <v>0</v>
      </c>
      <c r="GY34" s="2"/>
      <c r="GZ34" s="2"/>
      <c r="HA34" s="24">
        <f t="shared" si="49"/>
        <v>0</v>
      </c>
      <c r="HB34" s="23"/>
      <c r="HC34" s="2"/>
      <c r="HD34" s="2"/>
      <c r="HE34" s="24">
        <f t="shared" si="50"/>
        <v>0</v>
      </c>
      <c r="HF34" s="23"/>
      <c r="HG34" s="2"/>
      <c r="HH34" s="2"/>
      <c r="HI34" s="24">
        <f t="shared" si="51"/>
        <v>0</v>
      </c>
      <c r="HJ34" s="23"/>
      <c r="HK34" s="2"/>
      <c r="HL34" s="2"/>
      <c r="HM34" s="24">
        <f t="shared" si="52"/>
        <v>0</v>
      </c>
      <c r="HN34" s="23"/>
      <c r="HO34" s="2"/>
      <c r="HP34" s="2"/>
      <c r="HQ34" s="24">
        <f t="shared" si="53"/>
        <v>0</v>
      </c>
      <c r="HR34" s="23"/>
      <c r="HS34" s="2"/>
      <c r="HT34" s="2"/>
      <c r="HU34" s="24">
        <f t="shared" si="54"/>
        <v>0</v>
      </c>
      <c r="HV34" s="23"/>
      <c r="HW34" s="8">
        <f t="shared" si="55"/>
        <v>0</v>
      </c>
      <c r="HX34" s="2"/>
      <c r="HY34" s="2"/>
      <c r="HZ34" s="24">
        <f t="shared" si="56"/>
        <v>0</v>
      </c>
      <c r="IA34" s="23"/>
      <c r="IB34" s="2"/>
      <c r="IC34" s="2"/>
      <c r="ID34" s="24">
        <f t="shared" si="57"/>
        <v>0</v>
      </c>
      <c r="IE34" s="23"/>
      <c r="IF34" s="2"/>
      <c r="IG34" s="2"/>
      <c r="IH34" s="24">
        <f t="shared" si="58"/>
        <v>0</v>
      </c>
      <c r="II34" s="23"/>
      <c r="IJ34" s="2"/>
      <c r="IK34" s="2"/>
      <c r="IL34" s="24">
        <f t="shared" si="59"/>
        <v>0</v>
      </c>
      <c r="IM34" s="23"/>
      <c r="IN34" s="2"/>
      <c r="IO34" s="2"/>
      <c r="IP34" s="24">
        <f t="shared" si="60"/>
        <v>0</v>
      </c>
      <c r="IQ34" s="23"/>
      <c r="IR34" s="2"/>
      <c r="IS34" s="2"/>
      <c r="IT34" s="24">
        <f t="shared" si="61"/>
        <v>0</v>
      </c>
      <c r="IU34" s="23"/>
      <c r="IV34" s="8">
        <f t="shared" si="62"/>
        <v>0</v>
      </c>
      <c r="IW34" s="2"/>
      <c r="IX34" s="2"/>
      <c r="IY34" s="24">
        <f t="shared" si="63"/>
        <v>0</v>
      </c>
      <c r="IZ34" s="23"/>
      <c r="JA34" s="2"/>
      <c r="JB34" s="2"/>
      <c r="JC34" s="24">
        <f t="shared" si="64"/>
        <v>0</v>
      </c>
      <c r="JD34" s="23"/>
      <c r="JE34" s="2"/>
      <c r="JF34" s="2"/>
      <c r="JG34" s="24">
        <f t="shared" si="65"/>
        <v>0</v>
      </c>
      <c r="JH34" s="23"/>
      <c r="JI34" s="2"/>
      <c r="JJ34" s="2"/>
      <c r="JK34" s="24">
        <f t="shared" si="66"/>
        <v>0</v>
      </c>
      <c r="JL34" s="23"/>
      <c r="JM34" s="2"/>
      <c r="JN34" s="2"/>
      <c r="JO34" s="24">
        <f t="shared" si="67"/>
        <v>0</v>
      </c>
      <c r="JP34" s="23"/>
      <c r="JQ34" s="2"/>
      <c r="JR34" s="2"/>
      <c r="JS34" s="24">
        <f t="shared" si="68"/>
        <v>0</v>
      </c>
      <c r="JT34" s="23"/>
      <c r="JU34" s="8">
        <f t="shared" si="69"/>
        <v>0</v>
      </c>
      <c r="JV34" s="2"/>
      <c r="JW34" s="2"/>
      <c r="JX34" s="24">
        <f t="shared" si="70"/>
        <v>0</v>
      </c>
      <c r="JY34" s="23"/>
      <c r="JZ34" s="2"/>
      <c r="KA34" s="2"/>
      <c r="KB34" s="24">
        <f t="shared" si="71"/>
        <v>0</v>
      </c>
      <c r="KC34" s="23"/>
      <c r="KD34" s="2"/>
      <c r="KE34" s="2"/>
      <c r="KF34" s="24">
        <f t="shared" si="72"/>
        <v>0</v>
      </c>
      <c r="KG34" s="23"/>
      <c r="KH34" s="2"/>
      <c r="KI34" s="2"/>
      <c r="KJ34" s="24">
        <f t="shared" si="73"/>
        <v>0</v>
      </c>
      <c r="KK34" s="23"/>
      <c r="KL34" s="2"/>
      <c r="KM34" s="2"/>
      <c r="KN34" s="24">
        <f t="shared" si="74"/>
        <v>0</v>
      </c>
      <c r="KO34" s="23"/>
      <c r="KP34" s="2"/>
      <c r="KQ34" s="2"/>
      <c r="KR34" s="24">
        <f t="shared" si="75"/>
        <v>0</v>
      </c>
      <c r="KS34" s="23"/>
      <c r="KT34" s="8">
        <f t="shared" si="76"/>
        <v>0</v>
      </c>
      <c r="KU34" s="2"/>
      <c r="KV34" s="2"/>
      <c r="KW34" s="24">
        <f t="shared" si="77"/>
        <v>0</v>
      </c>
      <c r="KX34" s="23"/>
      <c r="KY34" s="8">
        <f t="shared" si="78"/>
        <v>0</v>
      </c>
      <c r="KZ34" s="2"/>
      <c r="LA34" s="2"/>
      <c r="LB34" s="24">
        <f t="shared" si="79"/>
        <v>0</v>
      </c>
      <c r="LC34" s="23"/>
      <c r="LD34" s="2"/>
      <c r="LE34" s="2"/>
      <c r="LF34" s="24">
        <f t="shared" si="80"/>
        <v>0</v>
      </c>
      <c r="LG34" s="23"/>
      <c r="LH34" s="2"/>
      <c r="LI34" s="2"/>
      <c r="LJ34" s="24">
        <f t="shared" si="81"/>
        <v>0</v>
      </c>
      <c r="LK34" s="23"/>
      <c r="LL34" s="8">
        <f t="shared" si="82"/>
        <v>0</v>
      </c>
      <c r="LM34" s="2"/>
      <c r="LN34" s="2"/>
      <c r="LO34" s="24">
        <f t="shared" si="83"/>
        <v>0</v>
      </c>
      <c r="LP34" s="23"/>
      <c r="LQ34" s="2"/>
      <c r="LR34" s="2"/>
      <c r="LS34" s="24">
        <f t="shared" si="84"/>
        <v>0</v>
      </c>
      <c r="LT34" s="23"/>
      <c r="LU34" s="2"/>
      <c r="LV34" s="2"/>
      <c r="LW34" s="24">
        <f t="shared" si="85"/>
        <v>0</v>
      </c>
      <c r="LX34" s="23"/>
      <c r="LY34" s="8">
        <f t="shared" si="86"/>
        <v>0</v>
      </c>
      <c r="LZ34" s="2"/>
      <c r="MA34" s="2"/>
      <c r="MB34" s="24">
        <f t="shared" si="87"/>
        <v>0</v>
      </c>
      <c r="MC34" s="23"/>
      <c r="MD34" s="2"/>
      <c r="ME34" s="2"/>
      <c r="MF34" s="24">
        <f t="shared" si="88"/>
        <v>0</v>
      </c>
      <c r="MG34" s="23"/>
      <c r="MH34" s="2"/>
      <c r="MI34" s="2"/>
      <c r="MJ34" s="24">
        <f t="shared" si="89"/>
        <v>0</v>
      </c>
      <c r="MK34" s="23"/>
      <c r="ML34" s="8">
        <f t="shared" si="90"/>
        <v>0</v>
      </c>
      <c r="MM34" s="2"/>
      <c r="MN34" s="2"/>
      <c r="MO34" s="24">
        <f t="shared" si="91"/>
        <v>0</v>
      </c>
      <c r="MP34" s="23"/>
      <c r="MQ34" s="2"/>
      <c r="MR34" s="2"/>
      <c r="MS34" s="24">
        <f t="shared" si="92"/>
        <v>0</v>
      </c>
      <c r="MT34" s="23"/>
      <c r="MU34" s="2"/>
      <c r="MV34" s="2"/>
      <c r="MW34" s="24">
        <f t="shared" si="93"/>
        <v>0</v>
      </c>
      <c r="MX34" s="23"/>
      <c r="MY34" s="8">
        <f t="shared" si="94"/>
        <v>0</v>
      </c>
      <c r="MZ34" s="2"/>
      <c r="NA34" s="2"/>
      <c r="NB34" s="24">
        <f t="shared" si="95"/>
        <v>0</v>
      </c>
      <c r="NC34" s="23"/>
      <c r="ND34" s="2"/>
      <c r="NE34" s="2"/>
      <c r="NF34" s="24">
        <f t="shared" si="96"/>
        <v>0</v>
      </c>
      <c r="NG34" s="23"/>
      <c r="NH34" s="2"/>
      <c r="NI34" s="2"/>
      <c r="NJ34" s="24">
        <f t="shared" si="97"/>
        <v>0</v>
      </c>
      <c r="NK34" s="23"/>
      <c r="NL34" s="8">
        <f t="shared" si="98"/>
        <v>0</v>
      </c>
      <c r="NM34" s="2"/>
      <c r="NN34" s="2"/>
      <c r="NO34" s="24">
        <f t="shared" si="99"/>
        <v>0</v>
      </c>
      <c r="NP34" s="23"/>
      <c r="NQ34" s="2"/>
      <c r="NR34" s="2"/>
      <c r="NS34" s="24">
        <f t="shared" si="100"/>
        <v>0</v>
      </c>
      <c r="NT34" s="23"/>
      <c r="NU34" s="8">
        <f t="shared" si="101"/>
        <v>0</v>
      </c>
      <c r="NV34" s="2"/>
      <c r="NW34" s="2"/>
      <c r="NX34" s="24">
        <f t="shared" si="102"/>
        <v>0</v>
      </c>
      <c r="NY34" s="23"/>
      <c r="NZ34" s="2"/>
      <c r="OA34" s="2"/>
      <c r="OB34" s="24">
        <f t="shared" si="103"/>
        <v>0</v>
      </c>
      <c r="OC34" s="23"/>
      <c r="OD34" s="8">
        <f t="shared" si="104"/>
        <v>0</v>
      </c>
      <c r="OE34" s="2"/>
      <c r="OF34" s="2"/>
      <c r="OG34" s="24">
        <f t="shared" si="105"/>
        <v>0</v>
      </c>
      <c r="OH34" s="23"/>
      <c r="OI34" s="2"/>
      <c r="OJ34" s="2"/>
      <c r="OK34" s="24">
        <f t="shared" si="106"/>
        <v>0</v>
      </c>
      <c r="OL34" s="23"/>
      <c r="OM34" s="8">
        <f t="shared" si="107"/>
        <v>0</v>
      </c>
      <c r="ON34" s="2"/>
      <c r="OO34" s="2"/>
      <c r="OP34" s="24">
        <f t="shared" si="108"/>
        <v>0</v>
      </c>
      <c r="OQ34" s="23"/>
      <c r="OR34" s="2"/>
      <c r="OS34" s="2"/>
      <c r="OT34" s="24">
        <f t="shared" si="109"/>
        <v>0</v>
      </c>
      <c r="OU34" s="23"/>
      <c r="OV34" s="8">
        <f t="shared" si="110"/>
        <v>0</v>
      </c>
      <c r="OW34" s="2"/>
      <c r="OX34" s="2"/>
      <c r="OY34" s="24">
        <f t="shared" si="111"/>
        <v>0</v>
      </c>
      <c r="OZ34" s="23"/>
      <c r="PA34" s="8">
        <f t="shared" si="112"/>
        <v>0</v>
      </c>
      <c r="PB34" s="2"/>
      <c r="PC34" s="2"/>
      <c r="PD34" s="24">
        <f t="shared" si="113"/>
        <v>0</v>
      </c>
      <c r="PE34" s="23"/>
      <c r="PF34" s="8">
        <f t="shared" si="114"/>
        <v>0</v>
      </c>
      <c r="PG34" s="2"/>
      <c r="PH34" s="2"/>
      <c r="PI34" s="24">
        <f t="shared" si="115"/>
        <v>0</v>
      </c>
      <c r="PJ34" s="23"/>
      <c r="PK34" s="2"/>
      <c r="PL34" s="2"/>
      <c r="PM34" s="24">
        <f t="shared" si="116"/>
        <v>0</v>
      </c>
      <c r="PN34" s="23"/>
      <c r="PO34" s="8">
        <f t="shared" si="117"/>
        <v>0</v>
      </c>
      <c r="PP34" s="2"/>
      <c r="PQ34" s="2"/>
      <c r="PR34" s="24">
        <f t="shared" si="118"/>
        <v>0</v>
      </c>
      <c r="PS34" s="23"/>
      <c r="PT34" s="8">
        <f t="shared" si="119"/>
        <v>0</v>
      </c>
      <c r="PU34" s="2"/>
      <c r="PV34" s="2"/>
      <c r="PW34" s="24">
        <f t="shared" si="120"/>
        <v>0</v>
      </c>
      <c r="PX34" s="23"/>
      <c r="PY34" s="8">
        <f t="shared" si="121"/>
        <v>0</v>
      </c>
      <c r="PZ34" s="2"/>
      <c r="QA34" s="2"/>
      <c r="QB34" s="24">
        <f t="shared" si="122"/>
        <v>0</v>
      </c>
      <c r="QC34" s="23"/>
      <c r="QD34" s="8">
        <f t="shared" si="123"/>
        <v>0</v>
      </c>
      <c r="QE34" s="2"/>
      <c r="QF34" s="2"/>
      <c r="QG34" s="24">
        <f t="shared" si="124"/>
        <v>0</v>
      </c>
      <c r="QH34" s="23"/>
      <c r="QI34" s="8">
        <f t="shared" si="125"/>
        <v>0</v>
      </c>
    </row>
    <row r="35" spans="1:451" ht="14.25" customHeight="1" x14ac:dyDescent="0.3">
      <c r="A35" s="5" t="s">
        <v>34</v>
      </c>
      <c r="B35" s="2">
        <v>2</v>
      </c>
      <c r="C35" s="2">
        <v>1</v>
      </c>
      <c r="D35" s="24">
        <f t="shared" si="0"/>
        <v>4</v>
      </c>
      <c r="E35" s="23"/>
      <c r="F35" s="2">
        <v>1</v>
      </c>
      <c r="G35" s="2">
        <v>1</v>
      </c>
      <c r="H35" s="24">
        <f t="shared" si="1"/>
        <v>1</v>
      </c>
      <c r="I35" s="23"/>
      <c r="J35" s="8">
        <f t="shared" si="2"/>
        <v>5</v>
      </c>
      <c r="K35" s="2">
        <v>0</v>
      </c>
      <c r="L35" s="2">
        <v>1</v>
      </c>
      <c r="M35" s="24">
        <f t="shared" si="3"/>
        <v>1</v>
      </c>
      <c r="N35" s="23"/>
      <c r="O35" s="2">
        <v>0</v>
      </c>
      <c r="P35" s="2">
        <v>1</v>
      </c>
      <c r="Q35" s="24">
        <f t="shared" si="4"/>
        <v>1</v>
      </c>
      <c r="R35" s="23"/>
      <c r="S35" s="8">
        <f t="shared" si="5"/>
        <v>2</v>
      </c>
      <c r="T35" s="2">
        <v>0</v>
      </c>
      <c r="U35" s="2">
        <v>2</v>
      </c>
      <c r="V35" s="24">
        <f t="shared" si="6"/>
        <v>0</v>
      </c>
      <c r="W35" s="23"/>
      <c r="X35" s="2">
        <v>2</v>
      </c>
      <c r="Y35" s="2">
        <v>1</v>
      </c>
      <c r="Z35" s="24">
        <f t="shared" si="7"/>
        <v>1</v>
      </c>
      <c r="AA35" s="23"/>
      <c r="AB35" s="2">
        <v>0</v>
      </c>
      <c r="AC35" s="2">
        <v>1</v>
      </c>
      <c r="AD35" s="24">
        <f t="shared" si="8"/>
        <v>5</v>
      </c>
      <c r="AE35" s="23"/>
      <c r="AF35" s="2">
        <v>0</v>
      </c>
      <c r="AG35" s="2">
        <v>1</v>
      </c>
      <c r="AH35" s="24">
        <f t="shared" si="9"/>
        <v>0</v>
      </c>
      <c r="AI35" s="23"/>
      <c r="AJ35" s="8">
        <f t="shared" si="10"/>
        <v>6</v>
      </c>
      <c r="AK35" s="2">
        <v>3</v>
      </c>
      <c r="AL35" s="2">
        <v>0</v>
      </c>
      <c r="AM35" s="24">
        <f t="shared" si="11"/>
        <v>3</v>
      </c>
      <c r="AN35" s="23"/>
      <c r="AO35" s="2">
        <v>1</v>
      </c>
      <c r="AP35" s="2">
        <v>0</v>
      </c>
      <c r="AQ35" s="24">
        <f t="shared" si="12"/>
        <v>0</v>
      </c>
      <c r="AR35" s="23"/>
      <c r="AS35" s="2">
        <v>1</v>
      </c>
      <c r="AT35" s="2">
        <v>1</v>
      </c>
      <c r="AU35" s="24">
        <f t="shared" si="13"/>
        <v>1</v>
      </c>
      <c r="AV35" s="23"/>
      <c r="AW35" s="2">
        <v>2</v>
      </c>
      <c r="AX35" s="2">
        <v>0</v>
      </c>
      <c r="AY35" s="24">
        <f t="shared" si="14"/>
        <v>3</v>
      </c>
      <c r="AZ35" s="23"/>
      <c r="BA35" s="8">
        <f t="shared" si="15"/>
        <v>7</v>
      </c>
      <c r="BB35" s="2">
        <v>3</v>
      </c>
      <c r="BC35" s="2">
        <v>0</v>
      </c>
      <c r="BD35" s="24">
        <f t="shared" si="16"/>
        <v>1</v>
      </c>
      <c r="BE35" s="23"/>
      <c r="BF35" s="2">
        <v>2</v>
      </c>
      <c r="BG35" s="2">
        <v>1</v>
      </c>
      <c r="BH35" s="24">
        <f t="shared" si="17"/>
        <v>1</v>
      </c>
      <c r="BI35" s="23"/>
      <c r="BJ35" s="2">
        <v>0</v>
      </c>
      <c r="BK35" s="2">
        <v>1</v>
      </c>
      <c r="BL35" s="24">
        <f t="shared" si="18"/>
        <v>1</v>
      </c>
      <c r="BM35" s="23"/>
      <c r="BN35" s="2">
        <v>1</v>
      </c>
      <c r="BO35" s="2">
        <v>0</v>
      </c>
      <c r="BP35" s="24">
        <f t="shared" si="19"/>
        <v>0</v>
      </c>
      <c r="BQ35" s="23"/>
      <c r="BR35" s="8">
        <f t="shared" si="20"/>
        <v>3</v>
      </c>
      <c r="BS35" s="2">
        <v>3</v>
      </c>
      <c r="BT35" s="2">
        <v>0</v>
      </c>
      <c r="BU35" s="24">
        <f t="shared" si="21"/>
        <v>4</v>
      </c>
      <c r="BV35" s="23"/>
      <c r="BW35" s="2">
        <v>0</v>
      </c>
      <c r="BX35" s="2">
        <v>2</v>
      </c>
      <c r="BY35" s="24">
        <f t="shared" si="22"/>
        <v>3</v>
      </c>
      <c r="BZ35" s="23"/>
      <c r="CA35" s="2">
        <v>4</v>
      </c>
      <c r="CB35" s="2">
        <v>0</v>
      </c>
      <c r="CC35" s="24">
        <f t="shared" si="23"/>
        <v>4</v>
      </c>
      <c r="CD35" s="23"/>
      <c r="CE35" s="2">
        <v>1</v>
      </c>
      <c r="CF35" s="2">
        <v>0</v>
      </c>
      <c r="CG35" s="24">
        <f t="shared" si="24"/>
        <v>3</v>
      </c>
      <c r="CH35" s="23"/>
      <c r="CI35" s="8">
        <f t="shared" si="25"/>
        <v>14</v>
      </c>
      <c r="CJ35" s="2">
        <v>2</v>
      </c>
      <c r="CK35" s="2">
        <v>1</v>
      </c>
      <c r="CL35" s="24">
        <f t="shared" si="26"/>
        <v>1</v>
      </c>
      <c r="CM35" s="23"/>
      <c r="CN35" s="2">
        <v>2</v>
      </c>
      <c r="CO35" s="2">
        <v>1</v>
      </c>
      <c r="CP35" s="24">
        <f t="shared" si="27"/>
        <v>3</v>
      </c>
      <c r="CQ35" s="23"/>
      <c r="CR35" s="2">
        <v>2</v>
      </c>
      <c r="CS35" s="2">
        <v>0</v>
      </c>
      <c r="CT35" s="24">
        <f t="shared" si="28"/>
        <v>4</v>
      </c>
      <c r="CU35" s="23"/>
      <c r="CV35" s="2">
        <v>0</v>
      </c>
      <c r="CW35" s="2">
        <v>3</v>
      </c>
      <c r="CX35" s="24">
        <f t="shared" si="29"/>
        <v>4</v>
      </c>
      <c r="CY35" s="23"/>
      <c r="CZ35" s="8">
        <f t="shared" si="30"/>
        <v>12</v>
      </c>
      <c r="DA35" s="2">
        <v>1</v>
      </c>
      <c r="DB35" s="2">
        <v>1</v>
      </c>
      <c r="DC35" s="24">
        <f t="shared" si="126"/>
        <v>5</v>
      </c>
      <c r="DD35" s="23"/>
      <c r="DE35" s="2">
        <v>2</v>
      </c>
      <c r="DF35" s="2">
        <v>0</v>
      </c>
      <c r="DG35" s="24">
        <f t="shared" si="127"/>
        <v>3</v>
      </c>
      <c r="DH35" s="23"/>
      <c r="DI35" s="2">
        <v>1</v>
      </c>
      <c r="DJ35" s="2">
        <v>0</v>
      </c>
      <c r="DK35" s="24">
        <f t="shared" si="128"/>
        <v>4</v>
      </c>
      <c r="DL35" s="23"/>
      <c r="DM35" s="2">
        <v>2</v>
      </c>
      <c r="DN35" s="2">
        <v>1</v>
      </c>
      <c r="DO35" s="24">
        <f t="shared" si="129"/>
        <v>3</v>
      </c>
      <c r="DP35" s="23"/>
      <c r="DQ35" s="8">
        <f t="shared" si="31"/>
        <v>15</v>
      </c>
      <c r="DR35" s="2">
        <v>3</v>
      </c>
      <c r="DS35" s="2">
        <v>0</v>
      </c>
      <c r="DT35" s="24">
        <f t="shared" si="130"/>
        <v>4</v>
      </c>
      <c r="DU35" s="23"/>
      <c r="DV35" s="2">
        <v>0</v>
      </c>
      <c r="DW35" s="2">
        <v>2</v>
      </c>
      <c r="DX35" s="24">
        <f t="shared" si="131"/>
        <v>4</v>
      </c>
      <c r="DY35" s="23"/>
      <c r="DZ35" s="2">
        <v>3</v>
      </c>
      <c r="EA35" s="2">
        <v>0</v>
      </c>
      <c r="EB35" s="24">
        <f t="shared" si="132"/>
        <v>5</v>
      </c>
      <c r="EC35" s="23"/>
      <c r="ED35" s="2">
        <v>1</v>
      </c>
      <c r="EE35" s="2">
        <v>2</v>
      </c>
      <c r="EF35" s="24">
        <f t="shared" si="133"/>
        <v>3</v>
      </c>
      <c r="EG35" s="23"/>
      <c r="EH35" s="8">
        <f t="shared" si="32"/>
        <v>16</v>
      </c>
      <c r="EI35" s="2">
        <v>2</v>
      </c>
      <c r="EJ35" s="2">
        <v>1</v>
      </c>
      <c r="EK35" s="24">
        <f t="shared" si="33"/>
        <v>4</v>
      </c>
      <c r="EL35" s="23"/>
      <c r="EM35" s="2">
        <v>3</v>
      </c>
      <c r="EN35" s="2">
        <v>1</v>
      </c>
      <c r="EO35" s="24">
        <f t="shared" si="34"/>
        <v>4</v>
      </c>
      <c r="EP35" s="23"/>
      <c r="EQ35" s="2">
        <v>3</v>
      </c>
      <c r="ER35" s="2">
        <v>0</v>
      </c>
      <c r="ES35" s="24">
        <f t="shared" si="35"/>
        <v>1</v>
      </c>
      <c r="ET35" s="23"/>
      <c r="EU35" s="2">
        <v>0</v>
      </c>
      <c r="EV35" s="2">
        <v>2</v>
      </c>
      <c r="EW35" s="24">
        <f t="shared" si="36"/>
        <v>4</v>
      </c>
      <c r="EX35" s="23"/>
      <c r="EY35" s="8">
        <f t="shared" si="37"/>
        <v>13</v>
      </c>
      <c r="EZ35" s="2">
        <v>2</v>
      </c>
      <c r="FA35" s="2">
        <v>0</v>
      </c>
      <c r="FB35" s="24"/>
      <c r="FC35" s="23"/>
      <c r="FD35" s="2">
        <v>2</v>
      </c>
      <c r="FE35" s="2">
        <v>0</v>
      </c>
      <c r="FF35" s="24"/>
      <c r="FG35" s="23"/>
      <c r="FH35" s="2">
        <v>2</v>
      </c>
      <c r="FI35" s="2">
        <v>1</v>
      </c>
      <c r="FJ35" s="24"/>
      <c r="FK35" s="23"/>
      <c r="FL35" s="2">
        <v>1</v>
      </c>
      <c r="FM35" s="2">
        <v>2</v>
      </c>
      <c r="FN35" s="24"/>
      <c r="FO35" s="23"/>
      <c r="FP35" s="8">
        <f t="shared" si="38"/>
        <v>0</v>
      </c>
      <c r="FQ35" s="2"/>
      <c r="FR35" s="2"/>
      <c r="FS35" s="24">
        <f t="shared" si="39"/>
        <v>0</v>
      </c>
      <c r="FT35" s="23"/>
      <c r="FU35" s="2"/>
      <c r="FV35" s="2"/>
      <c r="FW35" s="24">
        <f t="shared" si="40"/>
        <v>0</v>
      </c>
      <c r="FX35" s="23"/>
      <c r="FY35" s="2"/>
      <c r="FZ35" s="2"/>
      <c r="GA35" s="24">
        <f t="shared" si="41"/>
        <v>0</v>
      </c>
      <c r="GB35" s="23"/>
      <c r="GC35" s="2"/>
      <c r="GD35" s="2"/>
      <c r="GE35" s="24">
        <f t="shared" si="42"/>
        <v>0</v>
      </c>
      <c r="GF35" s="23"/>
      <c r="GG35" s="8">
        <f t="shared" si="43"/>
        <v>0</v>
      </c>
      <c r="GH35" s="2"/>
      <c r="GI35" s="2"/>
      <c r="GJ35" s="24">
        <f t="shared" si="44"/>
        <v>0</v>
      </c>
      <c r="GK35" s="23"/>
      <c r="GL35" s="2"/>
      <c r="GM35" s="2"/>
      <c r="GN35" s="24">
        <f t="shared" si="45"/>
        <v>0</v>
      </c>
      <c r="GO35" s="23"/>
      <c r="GP35" s="2"/>
      <c r="GQ35" s="2"/>
      <c r="GR35" s="24">
        <f t="shared" si="46"/>
        <v>0</v>
      </c>
      <c r="GS35" s="23"/>
      <c r="GT35" s="2"/>
      <c r="GU35" s="2"/>
      <c r="GV35" s="24">
        <f t="shared" si="47"/>
        <v>0</v>
      </c>
      <c r="GW35" s="23"/>
      <c r="GX35" s="8">
        <f t="shared" si="48"/>
        <v>0</v>
      </c>
      <c r="GY35" s="2"/>
      <c r="GZ35" s="2"/>
      <c r="HA35" s="24">
        <f t="shared" si="49"/>
        <v>0</v>
      </c>
      <c r="HB35" s="23"/>
      <c r="HC35" s="2"/>
      <c r="HD35" s="2"/>
      <c r="HE35" s="24">
        <f t="shared" si="50"/>
        <v>0</v>
      </c>
      <c r="HF35" s="23"/>
      <c r="HG35" s="2"/>
      <c r="HH35" s="2"/>
      <c r="HI35" s="24">
        <f t="shared" si="51"/>
        <v>0</v>
      </c>
      <c r="HJ35" s="23"/>
      <c r="HK35" s="2"/>
      <c r="HL35" s="2"/>
      <c r="HM35" s="24">
        <f t="shared" si="52"/>
        <v>0</v>
      </c>
      <c r="HN35" s="23"/>
      <c r="HO35" s="2"/>
      <c r="HP35" s="2"/>
      <c r="HQ35" s="24">
        <f t="shared" si="53"/>
        <v>0</v>
      </c>
      <c r="HR35" s="23"/>
      <c r="HS35" s="2"/>
      <c r="HT35" s="2"/>
      <c r="HU35" s="24">
        <f t="shared" si="54"/>
        <v>0</v>
      </c>
      <c r="HV35" s="23"/>
      <c r="HW35" s="8">
        <f t="shared" si="55"/>
        <v>0</v>
      </c>
      <c r="HX35" s="2"/>
      <c r="HY35" s="2"/>
      <c r="HZ35" s="24">
        <f t="shared" si="56"/>
        <v>0</v>
      </c>
      <c r="IA35" s="23"/>
      <c r="IB35" s="2"/>
      <c r="IC35" s="2"/>
      <c r="ID35" s="24">
        <f t="shared" si="57"/>
        <v>0</v>
      </c>
      <c r="IE35" s="23"/>
      <c r="IF35" s="2"/>
      <c r="IG35" s="2"/>
      <c r="IH35" s="24">
        <f t="shared" si="58"/>
        <v>0</v>
      </c>
      <c r="II35" s="23"/>
      <c r="IJ35" s="2"/>
      <c r="IK35" s="2"/>
      <c r="IL35" s="24">
        <f t="shared" si="59"/>
        <v>0</v>
      </c>
      <c r="IM35" s="23"/>
      <c r="IN35" s="2"/>
      <c r="IO35" s="2"/>
      <c r="IP35" s="24">
        <f t="shared" si="60"/>
        <v>0</v>
      </c>
      <c r="IQ35" s="23"/>
      <c r="IR35" s="2"/>
      <c r="IS35" s="2"/>
      <c r="IT35" s="24">
        <f t="shared" si="61"/>
        <v>0</v>
      </c>
      <c r="IU35" s="23"/>
      <c r="IV35" s="8">
        <f t="shared" si="62"/>
        <v>0</v>
      </c>
      <c r="IW35" s="2"/>
      <c r="IX35" s="2"/>
      <c r="IY35" s="24">
        <f t="shared" si="63"/>
        <v>0</v>
      </c>
      <c r="IZ35" s="23"/>
      <c r="JA35" s="2"/>
      <c r="JB35" s="2"/>
      <c r="JC35" s="24">
        <f t="shared" si="64"/>
        <v>0</v>
      </c>
      <c r="JD35" s="23"/>
      <c r="JE35" s="2"/>
      <c r="JF35" s="2"/>
      <c r="JG35" s="24">
        <f t="shared" si="65"/>
        <v>0</v>
      </c>
      <c r="JH35" s="23"/>
      <c r="JI35" s="2"/>
      <c r="JJ35" s="2"/>
      <c r="JK35" s="24">
        <f t="shared" si="66"/>
        <v>0</v>
      </c>
      <c r="JL35" s="23"/>
      <c r="JM35" s="2"/>
      <c r="JN35" s="2"/>
      <c r="JO35" s="24">
        <f t="shared" si="67"/>
        <v>0</v>
      </c>
      <c r="JP35" s="23"/>
      <c r="JQ35" s="2"/>
      <c r="JR35" s="2"/>
      <c r="JS35" s="24">
        <f t="shared" si="68"/>
        <v>0</v>
      </c>
      <c r="JT35" s="23"/>
      <c r="JU35" s="8">
        <f t="shared" si="69"/>
        <v>0</v>
      </c>
      <c r="JV35" s="2"/>
      <c r="JW35" s="2"/>
      <c r="JX35" s="24">
        <f t="shared" si="70"/>
        <v>0</v>
      </c>
      <c r="JY35" s="23"/>
      <c r="JZ35" s="2"/>
      <c r="KA35" s="2"/>
      <c r="KB35" s="24">
        <f t="shared" si="71"/>
        <v>0</v>
      </c>
      <c r="KC35" s="23"/>
      <c r="KD35" s="2"/>
      <c r="KE35" s="2"/>
      <c r="KF35" s="24">
        <f t="shared" si="72"/>
        <v>0</v>
      </c>
      <c r="KG35" s="23"/>
      <c r="KH35" s="2"/>
      <c r="KI35" s="2"/>
      <c r="KJ35" s="24">
        <f t="shared" si="73"/>
        <v>0</v>
      </c>
      <c r="KK35" s="23"/>
      <c r="KL35" s="2"/>
      <c r="KM35" s="2"/>
      <c r="KN35" s="24">
        <f t="shared" si="74"/>
        <v>0</v>
      </c>
      <c r="KO35" s="23"/>
      <c r="KP35" s="2"/>
      <c r="KQ35" s="2"/>
      <c r="KR35" s="24">
        <f t="shared" si="75"/>
        <v>0</v>
      </c>
      <c r="KS35" s="23"/>
      <c r="KT35" s="8">
        <f t="shared" si="76"/>
        <v>0</v>
      </c>
      <c r="KU35" s="2"/>
      <c r="KV35" s="2"/>
      <c r="KW35" s="24">
        <f t="shared" si="77"/>
        <v>0</v>
      </c>
      <c r="KX35" s="23"/>
      <c r="KY35" s="8">
        <f t="shared" si="78"/>
        <v>0</v>
      </c>
      <c r="KZ35" s="2"/>
      <c r="LA35" s="2"/>
      <c r="LB35" s="24">
        <f t="shared" si="79"/>
        <v>0</v>
      </c>
      <c r="LC35" s="23"/>
      <c r="LD35" s="2"/>
      <c r="LE35" s="2"/>
      <c r="LF35" s="24">
        <f t="shared" si="80"/>
        <v>0</v>
      </c>
      <c r="LG35" s="23"/>
      <c r="LH35" s="2"/>
      <c r="LI35" s="2"/>
      <c r="LJ35" s="24">
        <f t="shared" si="81"/>
        <v>0</v>
      </c>
      <c r="LK35" s="23"/>
      <c r="LL35" s="8">
        <f t="shared" si="82"/>
        <v>0</v>
      </c>
      <c r="LM35" s="2"/>
      <c r="LN35" s="2"/>
      <c r="LO35" s="24">
        <f t="shared" si="83"/>
        <v>0</v>
      </c>
      <c r="LP35" s="23"/>
      <c r="LQ35" s="2"/>
      <c r="LR35" s="2"/>
      <c r="LS35" s="24">
        <f t="shared" si="84"/>
        <v>0</v>
      </c>
      <c r="LT35" s="23"/>
      <c r="LU35" s="2"/>
      <c r="LV35" s="2"/>
      <c r="LW35" s="24">
        <f t="shared" si="85"/>
        <v>0</v>
      </c>
      <c r="LX35" s="23"/>
      <c r="LY35" s="8">
        <f t="shared" si="86"/>
        <v>0</v>
      </c>
      <c r="LZ35" s="2"/>
      <c r="MA35" s="2"/>
      <c r="MB35" s="24">
        <f t="shared" si="87"/>
        <v>0</v>
      </c>
      <c r="MC35" s="23"/>
      <c r="MD35" s="2"/>
      <c r="ME35" s="2"/>
      <c r="MF35" s="24">
        <f t="shared" si="88"/>
        <v>0</v>
      </c>
      <c r="MG35" s="23"/>
      <c r="MH35" s="2"/>
      <c r="MI35" s="2"/>
      <c r="MJ35" s="24">
        <f t="shared" si="89"/>
        <v>0</v>
      </c>
      <c r="MK35" s="23"/>
      <c r="ML35" s="8">
        <f t="shared" si="90"/>
        <v>0</v>
      </c>
      <c r="MM35" s="2"/>
      <c r="MN35" s="2"/>
      <c r="MO35" s="24">
        <f t="shared" si="91"/>
        <v>0</v>
      </c>
      <c r="MP35" s="23"/>
      <c r="MQ35" s="2"/>
      <c r="MR35" s="2"/>
      <c r="MS35" s="24">
        <f t="shared" si="92"/>
        <v>0</v>
      </c>
      <c r="MT35" s="23"/>
      <c r="MU35" s="2"/>
      <c r="MV35" s="2"/>
      <c r="MW35" s="24">
        <f t="shared" si="93"/>
        <v>0</v>
      </c>
      <c r="MX35" s="23"/>
      <c r="MY35" s="8">
        <f t="shared" si="94"/>
        <v>0</v>
      </c>
      <c r="MZ35" s="2"/>
      <c r="NA35" s="2"/>
      <c r="NB35" s="24">
        <f t="shared" si="95"/>
        <v>0</v>
      </c>
      <c r="NC35" s="23"/>
      <c r="ND35" s="2"/>
      <c r="NE35" s="2"/>
      <c r="NF35" s="24">
        <f t="shared" si="96"/>
        <v>0</v>
      </c>
      <c r="NG35" s="23"/>
      <c r="NH35" s="2"/>
      <c r="NI35" s="2"/>
      <c r="NJ35" s="24">
        <f t="shared" si="97"/>
        <v>0</v>
      </c>
      <c r="NK35" s="23"/>
      <c r="NL35" s="8">
        <f t="shared" si="98"/>
        <v>0</v>
      </c>
      <c r="NM35" s="2"/>
      <c r="NN35" s="2"/>
      <c r="NO35" s="24">
        <f t="shared" si="99"/>
        <v>0</v>
      </c>
      <c r="NP35" s="23"/>
      <c r="NQ35" s="2"/>
      <c r="NR35" s="2"/>
      <c r="NS35" s="24">
        <f t="shared" si="100"/>
        <v>0</v>
      </c>
      <c r="NT35" s="23"/>
      <c r="NU35" s="8">
        <f t="shared" si="101"/>
        <v>0</v>
      </c>
      <c r="NV35" s="2"/>
      <c r="NW35" s="2"/>
      <c r="NX35" s="24">
        <f t="shared" si="102"/>
        <v>0</v>
      </c>
      <c r="NY35" s="23"/>
      <c r="NZ35" s="2"/>
      <c r="OA35" s="2"/>
      <c r="OB35" s="24">
        <f t="shared" si="103"/>
        <v>0</v>
      </c>
      <c r="OC35" s="23"/>
      <c r="OD35" s="8">
        <f t="shared" si="104"/>
        <v>0</v>
      </c>
      <c r="OE35" s="2"/>
      <c r="OF35" s="2"/>
      <c r="OG35" s="24">
        <f t="shared" si="105"/>
        <v>0</v>
      </c>
      <c r="OH35" s="23"/>
      <c r="OI35" s="2"/>
      <c r="OJ35" s="2"/>
      <c r="OK35" s="24">
        <f t="shared" si="106"/>
        <v>0</v>
      </c>
      <c r="OL35" s="23"/>
      <c r="OM35" s="8">
        <f t="shared" si="107"/>
        <v>0</v>
      </c>
      <c r="ON35" s="2"/>
      <c r="OO35" s="2"/>
      <c r="OP35" s="24">
        <f t="shared" si="108"/>
        <v>0</v>
      </c>
      <c r="OQ35" s="23"/>
      <c r="OR35" s="2"/>
      <c r="OS35" s="2"/>
      <c r="OT35" s="24">
        <f t="shared" si="109"/>
        <v>0</v>
      </c>
      <c r="OU35" s="23"/>
      <c r="OV35" s="8">
        <f t="shared" si="110"/>
        <v>0</v>
      </c>
      <c r="OW35" s="2"/>
      <c r="OX35" s="2"/>
      <c r="OY35" s="24">
        <f t="shared" si="111"/>
        <v>0</v>
      </c>
      <c r="OZ35" s="23"/>
      <c r="PA35" s="8">
        <f t="shared" si="112"/>
        <v>0</v>
      </c>
      <c r="PB35" s="2"/>
      <c r="PC35" s="2"/>
      <c r="PD35" s="24">
        <f t="shared" si="113"/>
        <v>0</v>
      </c>
      <c r="PE35" s="23"/>
      <c r="PF35" s="8">
        <f t="shared" si="114"/>
        <v>0</v>
      </c>
      <c r="PG35" s="2"/>
      <c r="PH35" s="2"/>
      <c r="PI35" s="24">
        <f t="shared" si="115"/>
        <v>0</v>
      </c>
      <c r="PJ35" s="23"/>
      <c r="PK35" s="2"/>
      <c r="PL35" s="2"/>
      <c r="PM35" s="24">
        <f t="shared" si="116"/>
        <v>0</v>
      </c>
      <c r="PN35" s="23"/>
      <c r="PO35" s="8">
        <f t="shared" si="117"/>
        <v>0</v>
      </c>
      <c r="PP35" s="2"/>
      <c r="PQ35" s="2"/>
      <c r="PR35" s="24">
        <f t="shared" si="118"/>
        <v>0</v>
      </c>
      <c r="PS35" s="23"/>
      <c r="PT35" s="8">
        <f t="shared" si="119"/>
        <v>0</v>
      </c>
      <c r="PU35" s="2"/>
      <c r="PV35" s="2"/>
      <c r="PW35" s="24">
        <f t="shared" si="120"/>
        <v>0</v>
      </c>
      <c r="PX35" s="23"/>
      <c r="PY35" s="8">
        <f t="shared" si="121"/>
        <v>0</v>
      </c>
      <c r="PZ35" s="2"/>
      <c r="QA35" s="2"/>
      <c r="QB35" s="24">
        <f t="shared" si="122"/>
        <v>0</v>
      </c>
      <c r="QC35" s="23"/>
      <c r="QD35" s="8">
        <f t="shared" si="123"/>
        <v>0</v>
      </c>
      <c r="QE35" s="2"/>
      <c r="QF35" s="2"/>
      <c r="QG35" s="24">
        <f t="shared" si="124"/>
        <v>0</v>
      </c>
      <c r="QH35" s="23"/>
      <c r="QI35" s="8">
        <f t="shared" si="125"/>
        <v>0</v>
      </c>
    </row>
  </sheetData>
  <mergeCells count="3675">
    <mergeCell ref="D7:E7"/>
    <mergeCell ref="AY35:AZ35"/>
    <mergeCell ref="JX15:JY15"/>
    <mergeCell ref="GJ16:GK16"/>
    <mergeCell ref="NS17:NT17"/>
    <mergeCell ref="OT5:OU5"/>
    <mergeCell ref="MB6:MC6"/>
    <mergeCell ref="PD20:PE20"/>
    <mergeCell ref="GJ24:GK24"/>
    <mergeCell ref="GJ18:GK18"/>
    <mergeCell ref="NS19:NT19"/>
    <mergeCell ref="IL33:IM33"/>
    <mergeCell ref="LF32:LG32"/>
    <mergeCell ref="LF7:LG7"/>
    <mergeCell ref="AY30:AZ30"/>
    <mergeCell ref="HA29:HB29"/>
    <mergeCell ref="IL35:IM35"/>
    <mergeCell ref="BH31:BI31"/>
    <mergeCell ref="V21:W21"/>
    <mergeCell ref="PR13:PS13"/>
    <mergeCell ref="PR15:PS15"/>
    <mergeCell ref="OP23:OQ23"/>
    <mergeCell ref="OK15:OL15"/>
    <mergeCell ref="OK4:OL4"/>
    <mergeCell ref="QG30:QH30"/>
    <mergeCell ref="PM32:PN32"/>
    <mergeCell ref="QG12:QH12"/>
    <mergeCell ref="LW3:LX3"/>
    <mergeCell ref="FS15:FT15"/>
    <mergeCell ref="CL22:CM22"/>
    <mergeCell ref="M35:N35"/>
    <mergeCell ref="OB9:OC9"/>
    <mergeCell ref="JX20:JY20"/>
    <mergeCell ref="JX14:JY14"/>
    <mergeCell ref="JC27:JD27"/>
    <mergeCell ref="QB21:QC21"/>
    <mergeCell ref="OT3:OU3"/>
    <mergeCell ref="LO33:LP33"/>
    <mergeCell ref="BP9:BQ9"/>
    <mergeCell ref="OB11:OC11"/>
    <mergeCell ref="PD19:PE19"/>
    <mergeCell ref="NB3:NC3"/>
    <mergeCell ref="PM26:PN26"/>
    <mergeCell ref="PM9:PN9"/>
    <mergeCell ref="V8:W8"/>
    <mergeCell ref="CL31:CM31"/>
    <mergeCell ref="JX33:JY33"/>
    <mergeCell ref="GN11:GO11"/>
    <mergeCell ref="FF32:FG32"/>
    <mergeCell ref="LW14:LX14"/>
    <mergeCell ref="AY4:AZ4"/>
    <mergeCell ref="JX25:JY25"/>
    <mergeCell ref="GJ19:GK19"/>
    <mergeCell ref="LW12:LX12"/>
    <mergeCell ref="IY29:IZ29"/>
    <mergeCell ref="OT14:OU14"/>
    <mergeCell ref="FB13:FC13"/>
    <mergeCell ref="QG20:QH20"/>
    <mergeCell ref="OT16:OU16"/>
    <mergeCell ref="IT19:IU19"/>
    <mergeCell ref="V10:W10"/>
    <mergeCell ref="KB13:KC13"/>
    <mergeCell ref="QG22:QH22"/>
    <mergeCell ref="DT23:DU23"/>
    <mergeCell ref="OT18:OU18"/>
    <mergeCell ref="IT12:IU12"/>
    <mergeCell ref="MB19:MC19"/>
    <mergeCell ref="DK6:DL6"/>
    <mergeCell ref="GR5:GS5"/>
    <mergeCell ref="GR32:GS32"/>
    <mergeCell ref="EK32:EL32"/>
    <mergeCell ref="JO7:JP7"/>
    <mergeCell ref="NJ9:NK9"/>
    <mergeCell ref="FF21:FG21"/>
    <mergeCell ref="IT14:IU14"/>
    <mergeCell ref="CP29:CQ29"/>
    <mergeCell ref="ES34:ET34"/>
    <mergeCell ref="PI34:PJ34"/>
    <mergeCell ref="HQ11:HR11"/>
    <mergeCell ref="LF3:LG3"/>
    <mergeCell ref="GE4:GF4"/>
    <mergeCell ref="AY26:AZ26"/>
    <mergeCell ref="LO26:LP26"/>
    <mergeCell ref="NB5:NC5"/>
    <mergeCell ref="EW9:EX9"/>
    <mergeCell ref="OB33:OC33"/>
    <mergeCell ref="CG16:CH16"/>
    <mergeCell ref="DT18:DU18"/>
    <mergeCell ref="FF23:FG23"/>
    <mergeCell ref="HQ9:HR9"/>
    <mergeCell ref="EF29:EG29"/>
    <mergeCell ref="LJ4:LK4"/>
    <mergeCell ref="FB18:FC18"/>
    <mergeCell ref="EK3:EL3"/>
    <mergeCell ref="PM11:PN11"/>
    <mergeCell ref="OB13:OC13"/>
    <mergeCell ref="LO29:LP29"/>
    <mergeCell ref="OB7:OC7"/>
    <mergeCell ref="AD11:AE11"/>
    <mergeCell ref="EB26:EC26"/>
    <mergeCell ref="CT31:CU31"/>
    <mergeCell ref="M26:N26"/>
    <mergeCell ref="HM3:HN3"/>
    <mergeCell ref="NB10:NC10"/>
    <mergeCell ref="GN10:GO10"/>
    <mergeCell ref="IP21:IQ21"/>
    <mergeCell ref="CP22:CQ22"/>
    <mergeCell ref="NF22:NG22"/>
    <mergeCell ref="FW29:FX29"/>
    <mergeCell ref="IT29:IU29"/>
    <mergeCell ref="HI28:HJ28"/>
    <mergeCell ref="JS5:JT5"/>
    <mergeCell ref="PM16:PN16"/>
    <mergeCell ref="MS26:MT26"/>
    <mergeCell ref="NJ4:NK4"/>
    <mergeCell ref="DT9:DU9"/>
    <mergeCell ref="LW25:LX25"/>
    <mergeCell ref="KF14:KG14"/>
    <mergeCell ref="EK21:EL21"/>
    <mergeCell ref="HZ26:IA26"/>
    <mergeCell ref="HZ9:IA9"/>
    <mergeCell ref="EW26:EX26"/>
    <mergeCell ref="CG3:CH3"/>
    <mergeCell ref="MB9:MC9"/>
    <mergeCell ref="KN31:KO31"/>
    <mergeCell ref="BP22:BQ22"/>
    <mergeCell ref="FS4:FT4"/>
    <mergeCell ref="CX4:CY4"/>
    <mergeCell ref="AU20:AV20"/>
    <mergeCell ref="Z27:AA27"/>
    <mergeCell ref="AU14:AV14"/>
    <mergeCell ref="ID15:IE15"/>
    <mergeCell ref="D5:E5"/>
    <mergeCell ref="BA1:BA3"/>
    <mergeCell ref="CP24:CQ24"/>
    <mergeCell ref="FY1:FZ2"/>
    <mergeCell ref="BY6:BZ6"/>
    <mergeCell ref="JX12:JY12"/>
    <mergeCell ref="LQ1:LR2"/>
    <mergeCell ref="JG7:JH7"/>
    <mergeCell ref="T1:U2"/>
    <mergeCell ref="V23:W23"/>
    <mergeCell ref="AU5:AV5"/>
    <mergeCell ref="H3:I3"/>
    <mergeCell ref="FF18:FG18"/>
    <mergeCell ref="FN5:FO5"/>
    <mergeCell ref="EI1:EJ2"/>
    <mergeCell ref="KW19:KX19"/>
    <mergeCell ref="JC9:JD9"/>
    <mergeCell ref="LF5:LG5"/>
    <mergeCell ref="JG26:JH26"/>
    <mergeCell ref="EB25:EC25"/>
    <mergeCell ref="HE3:HF3"/>
    <mergeCell ref="EB3:EC3"/>
    <mergeCell ref="EK8:EL8"/>
    <mergeCell ref="D16:E16"/>
    <mergeCell ref="KW6:KX6"/>
    <mergeCell ref="V24:W24"/>
    <mergeCell ref="DO34:DP34"/>
    <mergeCell ref="AB1:AC2"/>
    <mergeCell ref="D18:E18"/>
    <mergeCell ref="IY31:IZ31"/>
    <mergeCell ref="CX24:CY24"/>
    <mergeCell ref="NS28:NT28"/>
    <mergeCell ref="FB15:FC15"/>
    <mergeCell ref="AM15:AN15"/>
    <mergeCell ref="LF16:LG16"/>
    <mergeCell ref="NS30:NT30"/>
    <mergeCell ref="HZ20:IA20"/>
    <mergeCell ref="GN13:GO13"/>
    <mergeCell ref="HM1:HN1"/>
    <mergeCell ref="AD8:AE8"/>
    <mergeCell ref="KB16:KC16"/>
    <mergeCell ref="BP7:BQ7"/>
    <mergeCell ref="MF7:MG7"/>
    <mergeCell ref="MO15:MP15"/>
    <mergeCell ref="H22:I22"/>
    <mergeCell ref="H7:I7"/>
    <mergeCell ref="H32:I32"/>
    <mergeCell ref="M31:N31"/>
    <mergeCell ref="FB10:FC10"/>
    <mergeCell ref="EK30:EL30"/>
    <mergeCell ref="FH1:FI2"/>
    <mergeCell ref="EF5:EG5"/>
    <mergeCell ref="DA1:DB2"/>
    <mergeCell ref="AU30:AV30"/>
    <mergeCell ref="H4:I4"/>
    <mergeCell ref="Q33:R33"/>
    <mergeCell ref="BU18:BV18"/>
    <mergeCell ref="D3:E3"/>
    <mergeCell ref="OT1:OU1"/>
    <mergeCell ref="LO31:LP31"/>
    <mergeCell ref="MF9:MG9"/>
    <mergeCell ref="JS25:JT25"/>
    <mergeCell ref="FN24:FO24"/>
    <mergeCell ref="MW3:MX3"/>
    <mergeCell ref="GR18:GS18"/>
    <mergeCell ref="CP26:CQ26"/>
    <mergeCell ref="D21:E21"/>
    <mergeCell ref="DK35:DL35"/>
    <mergeCell ref="MO28:MP28"/>
    <mergeCell ref="FJ22:FK22"/>
    <mergeCell ref="DX15:DY15"/>
    <mergeCell ref="HZ34:IA34"/>
    <mergeCell ref="FW30:FX30"/>
    <mergeCell ref="KB32:KC32"/>
    <mergeCell ref="ES15:ET15"/>
    <mergeCell ref="IY19:IZ19"/>
    <mergeCell ref="EW27:EX27"/>
    <mergeCell ref="OB34:OC34"/>
    <mergeCell ref="IH18:II18"/>
    <mergeCell ref="LW10:LX10"/>
    <mergeCell ref="HU10:HV10"/>
    <mergeCell ref="EW35:EX35"/>
    <mergeCell ref="GN35:GO35"/>
    <mergeCell ref="IN1:IO2"/>
    <mergeCell ref="DT33:DU33"/>
    <mergeCell ref="DG8:DH8"/>
    <mergeCell ref="GV7:GW7"/>
    <mergeCell ref="Q1:R1"/>
    <mergeCell ref="CG13:CH13"/>
    <mergeCell ref="BL20:BM20"/>
    <mergeCell ref="PD11:PE11"/>
    <mergeCell ref="OT12:OU12"/>
    <mergeCell ref="MW18:MX18"/>
    <mergeCell ref="JC11:JD11"/>
    <mergeCell ref="LW29:LX29"/>
    <mergeCell ref="LW23:LX23"/>
    <mergeCell ref="HZ15:IA15"/>
    <mergeCell ref="FW28:FX28"/>
    <mergeCell ref="HE20:HF20"/>
    <mergeCell ref="KW26:KX26"/>
    <mergeCell ref="JS23:JT23"/>
    <mergeCell ref="FS28:FT28"/>
    <mergeCell ref="LJ29:LK29"/>
    <mergeCell ref="NJ31:NK31"/>
    <mergeCell ref="MW16:MX16"/>
    <mergeCell ref="MF11:MG11"/>
    <mergeCell ref="LF14:LG14"/>
    <mergeCell ref="IP23:IQ23"/>
    <mergeCell ref="OY29:OZ29"/>
    <mergeCell ref="GA20:GB20"/>
    <mergeCell ref="JS26:JT26"/>
    <mergeCell ref="MW13:MX13"/>
    <mergeCell ref="KJ29:KK29"/>
    <mergeCell ref="MO13:MP13"/>
    <mergeCell ref="LW21:LX21"/>
    <mergeCell ref="NS25:NT25"/>
    <mergeCell ref="KB12:KC12"/>
    <mergeCell ref="JO23:JP23"/>
    <mergeCell ref="KN27:KO27"/>
    <mergeCell ref="PM35:PN35"/>
    <mergeCell ref="MW12:MX12"/>
    <mergeCell ref="NX27:NY27"/>
    <mergeCell ref="GV22:GW22"/>
    <mergeCell ref="EO22:EP22"/>
    <mergeCell ref="KN11:KO11"/>
    <mergeCell ref="AU15:AV15"/>
    <mergeCell ref="JS24:JT24"/>
    <mergeCell ref="JS18:JT18"/>
    <mergeCell ref="Z22:AA22"/>
    <mergeCell ref="NO6:NP6"/>
    <mergeCell ref="GV33:GW33"/>
    <mergeCell ref="EK1:EL1"/>
    <mergeCell ref="KR15:KS15"/>
    <mergeCell ref="CX22:CY22"/>
    <mergeCell ref="OP5:OQ5"/>
    <mergeCell ref="CR1:CS2"/>
    <mergeCell ref="NH1:NI2"/>
    <mergeCell ref="MF19:MG19"/>
    <mergeCell ref="GN34:GO34"/>
    <mergeCell ref="HI30:HJ30"/>
    <mergeCell ref="JK9:JL9"/>
    <mergeCell ref="JK34:JL34"/>
    <mergeCell ref="HZ33:IA33"/>
    <mergeCell ref="AD7:AE7"/>
    <mergeCell ref="KB21:KC21"/>
    <mergeCell ref="NJ30:NK30"/>
    <mergeCell ref="DT35:DU35"/>
    <mergeCell ref="BS1:BT2"/>
    <mergeCell ref="AU18:AV18"/>
    <mergeCell ref="GR16:GS16"/>
    <mergeCell ref="HZ35:IA35"/>
    <mergeCell ref="OB35:OC35"/>
    <mergeCell ref="BU6:BV6"/>
    <mergeCell ref="HA6:HB6"/>
    <mergeCell ref="AD6:AE6"/>
    <mergeCell ref="DQ1:DQ3"/>
    <mergeCell ref="ID6:IE6"/>
    <mergeCell ref="DG1:DH1"/>
    <mergeCell ref="HE4:HF4"/>
    <mergeCell ref="NF4:NG4"/>
    <mergeCell ref="AD17:AE17"/>
    <mergeCell ref="Z11:AA11"/>
    <mergeCell ref="DO3:DP3"/>
    <mergeCell ref="CT10:CU10"/>
    <mergeCell ref="GV29:GW29"/>
    <mergeCell ref="NX34:NY34"/>
    <mergeCell ref="ID16:IE16"/>
    <mergeCell ref="EB24:EC24"/>
    <mergeCell ref="JX22:JY22"/>
    <mergeCell ref="IL15:IM15"/>
    <mergeCell ref="AH27:AI27"/>
    <mergeCell ref="FB32:FC32"/>
    <mergeCell ref="AQ5:AR5"/>
    <mergeCell ref="DG11:DH11"/>
    <mergeCell ref="FJ32:FK32"/>
    <mergeCell ref="BL9:BM9"/>
    <mergeCell ref="FJ12:FK12"/>
    <mergeCell ref="FF33:FG33"/>
    <mergeCell ref="CT30:CU30"/>
    <mergeCell ref="CG5:CH5"/>
    <mergeCell ref="NS1:NT1"/>
    <mergeCell ref="IT1:IU1"/>
    <mergeCell ref="KF1:KG1"/>
    <mergeCell ref="QD1:QD3"/>
    <mergeCell ref="DK25:DL25"/>
    <mergeCell ref="BD25:BE25"/>
    <mergeCell ref="IH22:II22"/>
    <mergeCell ref="MJ35:MK35"/>
    <mergeCell ref="HQ25:HR25"/>
    <mergeCell ref="NO1:NP1"/>
    <mergeCell ref="MW15:MX15"/>
    <mergeCell ref="BL22:BM22"/>
    <mergeCell ref="KJ31:KK31"/>
    <mergeCell ref="CX27:CY27"/>
    <mergeCell ref="GE28:GF28"/>
    <mergeCell ref="IY27:IZ27"/>
    <mergeCell ref="CX20:CY20"/>
    <mergeCell ref="OP3:OQ3"/>
    <mergeCell ref="AU33:AV33"/>
    <mergeCell ref="DO7:DP7"/>
    <mergeCell ref="GV35:GW35"/>
    <mergeCell ref="EF12:EG12"/>
    <mergeCell ref="QB31:QC31"/>
    <mergeCell ref="CG35:CH35"/>
    <mergeCell ref="AU28:AV28"/>
    <mergeCell ref="FB6:FC6"/>
    <mergeCell ref="PR6:PS6"/>
    <mergeCell ref="NO19:NP19"/>
    <mergeCell ref="LB35:LC35"/>
    <mergeCell ref="OG5:OH5"/>
    <mergeCell ref="EF14:EG14"/>
    <mergeCell ref="IH33:II33"/>
    <mergeCell ref="HU8:HV8"/>
    <mergeCell ref="LB7:LC7"/>
    <mergeCell ref="QB29:QC29"/>
    <mergeCell ref="QB23:QC23"/>
    <mergeCell ref="OG18:OH18"/>
    <mergeCell ref="LJ15:LK15"/>
    <mergeCell ref="KR29:KS29"/>
    <mergeCell ref="GJ9:GK9"/>
    <mergeCell ref="EK11:EL11"/>
    <mergeCell ref="PW23:PX23"/>
    <mergeCell ref="ES26:ET26"/>
    <mergeCell ref="CT23:CU23"/>
    <mergeCell ref="CT29:CU29"/>
    <mergeCell ref="DO26:DP26"/>
    <mergeCell ref="GJ35:GK35"/>
    <mergeCell ref="PW25:PX25"/>
    <mergeCell ref="BL27:BM27"/>
    <mergeCell ref="MW14:MX14"/>
    <mergeCell ref="JC7:JD7"/>
    <mergeCell ref="IH20:II20"/>
    <mergeCell ref="IH35:II35"/>
    <mergeCell ref="IL13:IM13"/>
    <mergeCell ref="NO14:NP14"/>
    <mergeCell ref="LB30:LC30"/>
    <mergeCell ref="IP17:IQ17"/>
    <mergeCell ref="OK21:OL21"/>
    <mergeCell ref="KR31:KS31"/>
    <mergeCell ref="FW9:FX9"/>
    <mergeCell ref="BU17:BV17"/>
    <mergeCell ref="HZ32:IA32"/>
    <mergeCell ref="LJ35:LK35"/>
    <mergeCell ref="MS32:MT32"/>
    <mergeCell ref="KB25:KC25"/>
    <mergeCell ref="NX9:NY9"/>
    <mergeCell ref="GE26:GF26"/>
    <mergeCell ref="PR32:PS32"/>
    <mergeCell ref="OP16:OQ16"/>
    <mergeCell ref="PR24:PS24"/>
    <mergeCell ref="LJ20:LK20"/>
    <mergeCell ref="JX13:JY13"/>
    <mergeCell ref="EK14:EL14"/>
    <mergeCell ref="KR28:KS28"/>
    <mergeCell ref="KR34:KS34"/>
    <mergeCell ref="IP12:IQ12"/>
    <mergeCell ref="AM32:AN32"/>
    <mergeCell ref="LJ22:LK22"/>
    <mergeCell ref="GN32:GO32"/>
    <mergeCell ref="KR30:KS30"/>
    <mergeCell ref="Q25:R25"/>
    <mergeCell ref="OG24:OH24"/>
    <mergeCell ref="PD25:PE25"/>
    <mergeCell ref="NO17:NP17"/>
    <mergeCell ref="OP32:OQ32"/>
    <mergeCell ref="CG25:CH25"/>
    <mergeCell ref="MW25:MX25"/>
    <mergeCell ref="PI27:PJ27"/>
    <mergeCell ref="OK23:OL23"/>
    <mergeCell ref="BU19:BV19"/>
    <mergeCell ref="JS20:JT20"/>
    <mergeCell ref="DG18:DH18"/>
    <mergeCell ref="LB34:LC34"/>
    <mergeCell ref="GJ17:GK17"/>
    <mergeCell ref="DG17:DH17"/>
    <mergeCell ref="PI24:PJ24"/>
    <mergeCell ref="LJ33:LK33"/>
    <mergeCell ref="CL24:CM24"/>
    <mergeCell ref="JS22:JT22"/>
    <mergeCell ref="H34:I34"/>
    <mergeCell ref="AM34:AN34"/>
    <mergeCell ref="HZ22:IA22"/>
    <mergeCell ref="GN15:GO15"/>
    <mergeCell ref="FS22:FT22"/>
    <mergeCell ref="BY15:BZ15"/>
    <mergeCell ref="GX1:GX3"/>
    <mergeCell ref="KF19:KG19"/>
    <mergeCell ref="JK26:JL26"/>
    <mergeCell ref="MS24:MT24"/>
    <mergeCell ref="GN17:GO17"/>
    <mergeCell ref="NM1:NN2"/>
    <mergeCell ref="KF12:KG12"/>
    <mergeCell ref="DK1:DL1"/>
    <mergeCell ref="HZ30:IA30"/>
    <mergeCell ref="AU13:AV13"/>
    <mergeCell ref="PW14:PX14"/>
    <mergeCell ref="NX11:NY11"/>
    <mergeCell ref="AQ16:AR16"/>
    <mergeCell ref="CL26:CM26"/>
    <mergeCell ref="OY27:OZ27"/>
    <mergeCell ref="PI9:PJ9"/>
    <mergeCell ref="KJ27:KK27"/>
    <mergeCell ref="OY20:OZ20"/>
    <mergeCell ref="Z9:AA9"/>
    <mergeCell ref="GE24:GF24"/>
    <mergeCell ref="CC5:CD5"/>
    <mergeCell ref="HC1:HD2"/>
    <mergeCell ref="ES11:ET11"/>
    <mergeCell ref="DX24:DY24"/>
    <mergeCell ref="FJ31:FK31"/>
    <mergeCell ref="EW6:EX6"/>
    <mergeCell ref="OB8:OC8"/>
    <mergeCell ref="KN9:KO9"/>
    <mergeCell ref="LO24:LP24"/>
    <mergeCell ref="CP33:CQ33"/>
    <mergeCell ref="JS35:JT35"/>
    <mergeCell ref="BL4:BM4"/>
    <mergeCell ref="FU1:FV2"/>
    <mergeCell ref="OP12:OQ12"/>
    <mergeCell ref="DO16:DP16"/>
    <mergeCell ref="EF8:EG8"/>
    <mergeCell ref="JO25:JP25"/>
    <mergeCell ref="GV31:GW31"/>
    <mergeCell ref="HM9:HN9"/>
    <mergeCell ref="MJ6:MK6"/>
    <mergeCell ref="X1:Y2"/>
    <mergeCell ref="QB20:QC20"/>
    <mergeCell ref="OG20:OH20"/>
    <mergeCell ref="EF31:EG31"/>
    <mergeCell ref="DO11:DP11"/>
    <mergeCell ref="CT24:CU24"/>
    <mergeCell ref="GJ22:GK22"/>
    <mergeCell ref="ED1:EE2"/>
    <mergeCell ref="BD8:BE8"/>
    <mergeCell ref="JG24:JH24"/>
    <mergeCell ref="HU17:HV17"/>
    <mergeCell ref="LB16:LC16"/>
    <mergeCell ref="PM10:PN10"/>
    <mergeCell ref="GE17:GF17"/>
    <mergeCell ref="HQ24:HR24"/>
    <mergeCell ref="AY14:AZ14"/>
    <mergeCell ref="LO14:LP14"/>
    <mergeCell ref="AD27:AE27"/>
    <mergeCell ref="H21:I21"/>
    <mergeCell ref="NF30:NG30"/>
    <mergeCell ref="JO6:JP6"/>
    <mergeCell ref="NJ8:NK8"/>
    <mergeCell ref="DT13:DU13"/>
    <mergeCell ref="HE23:HF23"/>
    <mergeCell ref="FF12:FG12"/>
    <mergeCell ref="NX7:NY7"/>
    <mergeCell ref="DG35:DH35"/>
    <mergeCell ref="HZ13:IA13"/>
    <mergeCell ref="BU28:BV28"/>
    <mergeCell ref="DT15:DU15"/>
    <mergeCell ref="Z8:AA8"/>
    <mergeCell ref="HI3:HJ3"/>
    <mergeCell ref="H16:I16"/>
    <mergeCell ref="AD35:AE35"/>
    <mergeCell ref="AD34:AE34"/>
    <mergeCell ref="DK33:DL33"/>
    <mergeCell ref="MF33:MG33"/>
    <mergeCell ref="MF15:MG15"/>
    <mergeCell ref="BU34:BV34"/>
    <mergeCell ref="MF13:MG13"/>
    <mergeCell ref="AM35:AN35"/>
    <mergeCell ref="JO35:JP35"/>
    <mergeCell ref="KW32:KX32"/>
    <mergeCell ref="ID32:IE32"/>
    <mergeCell ref="JX32:JY32"/>
    <mergeCell ref="MF32:MG32"/>
    <mergeCell ref="HE34:HF34"/>
    <mergeCell ref="HQ7:HR7"/>
    <mergeCell ref="FJ13:FK13"/>
    <mergeCell ref="GV20:GW20"/>
    <mergeCell ref="BL31:BM31"/>
    <mergeCell ref="DO13:DP13"/>
    <mergeCell ref="AY10:AZ10"/>
    <mergeCell ref="LO10:LP10"/>
    <mergeCell ref="KW18:KX18"/>
    <mergeCell ref="AQ13:AR13"/>
    <mergeCell ref="AQ15:AR15"/>
    <mergeCell ref="GA10:GB10"/>
    <mergeCell ref="HA10:HB10"/>
    <mergeCell ref="EB8:EC8"/>
    <mergeCell ref="KN24:KO24"/>
    <mergeCell ref="GE20:GF20"/>
    <mergeCell ref="JK6:JL6"/>
    <mergeCell ref="BU16:BV16"/>
    <mergeCell ref="BP5:BQ5"/>
    <mergeCell ref="BL7:BM7"/>
    <mergeCell ref="AU12:AV12"/>
    <mergeCell ref="AU31:AV31"/>
    <mergeCell ref="AY11:AZ11"/>
    <mergeCell ref="DK26:DL26"/>
    <mergeCell ref="HI9:HJ9"/>
    <mergeCell ref="FB9:FC9"/>
    <mergeCell ref="KN15:KO15"/>
    <mergeCell ref="BP6:BQ6"/>
    <mergeCell ref="DK16:DL16"/>
    <mergeCell ref="IL17:IM17"/>
    <mergeCell ref="IL11:IM11"/>
    <mergeCell ref="EF7:EG7"/>
    <mergeCell ref="JC24:JD24"/>
    <mergeCell ref="HQ26:HR26"/>
    <mergeCell ref="GE19:GF19"/>
    <mergeCell ref="KN28:KO28"/>
    <mergeCell ref="QB35:QC35"/>
    <mergeCell ref="GJ34:GK34"/>
    <mergeCell ref="BN1:BO2"/>
    <mergeCell ref="HE30:HF30"/>
    <mergeCell ref="LJ26:LK26"/>
    <mergeCell ref="CP30:CQ30"/>
    <mergeCell ref="OG25:OH25"/>
    <mergeCell ref="BL29:BM29"/>
    <mergeCell ref="HU5:HV5"/>
    <mergeCell ref="FS20:FT20"/>
    <mergeCell ref="GN7:GO7"/>
    <mergeCell ref="LF18:LG18"/>
    <mergeCell ref="DO25:DP25"/>
    <mergeCell ref="BH25:BI25"/>
    <mergeCell ref="IL22:IM22"/>
    <mergeCell ref="LB28:LC28"/>
    <mergeCell ref="DT14:DU14"/>
    <mergeCell ref="BY14:BZ14"/>
    <mergeCell ref="KF17:KG17"/>
    <mergeCell ref="BH8:BI8"/>
    <mergeCell ref="ES18:ET18"/>
    <mergeCell ref="KJ9:KK9"/>
    <mergeCell ref="HZ8:IA8"/>
    <mergeCell ref="FS23:FT23"/>
    <mergeCell ref="HE28:HF28"/>
    <mergeCell ref="JO5:JP5"/>
    <mergeCell ref="FF13:FG13"/>
    <mergeCell ref="GR20:GS20"/>
    <mergeCell ref="FF7:FG7"/>
    <mergeCell ref="LS10:LT10"/>
    <mergeCell ref="KF31:KG31"/>
    <mergeCell ref="BH22:BI22"/>
    <mergeCell ref="PI35:PJ35"/>
    <mergeCell ref="MB30:MC30"/>
    <mergeCell ref="EW13:EX13"/>
    <mergeCell ref="LB3:LC3"/>
    <mergeCell ref="KJ11:KK11"/>
    <mergeCell ref="JO24:JP24"/>
    <mergeCell ref="NX35:NY35"/>
    <mergeCell ref="FF35:FG35"/>
    <mergeCell ref="V27:W27"/>
    <mergeCell ref="BU30:BV30"/>
    <mergeCell ref="V22:W22"/>
    <mergeCell ref="KB28:KC28"/>
    <mergeCell ref="JG25:JH25"/>
    <mergeCell ref="DX10:DY10"/>
    <mergeCell ref="JC32:JD32"/>
    <mergeCell ref="BL32:BM32"/>
    <mergeCell ref="BD19:BE19"/>
    <mergeCell ref="BH30:BI30"/>
    <mergeCell ref="GA8:GB8"/>
    <mergeCell ref="KN26:KO26"/>
    <mergeCell ref="KN32:KO32"/>
    <mergeCell ref="EB20:EC20"/>
    <mergeCell ref="CT9:CU9"/>
    <mergeCell ref="IY24:IZ24"/>
    <mergeCell ref="DX25:DY25"/>
    <mergeCell ref="JC19:JD19"/>
    <mergeCell ref="IL20:IM20"/>
    <mergeCell ref="AH9:AI9"/>
    <mergeCell ref="Z19:AA19"/>
    <mergeCell ref="MO12:MP12"/>
    <mergeCell ref="KW34:KX34"/>
    <mergeCell ref="FW31:FX31"/>
    <mergeCell ref="AD30:AE30"/>
    <mergeCell ref="CX10:CY10"/>
    <mergeCell ref="EK34:EL34"/>
    <mergeCell ref="AH34:AI34"/>
    <mergeCell ref="NS14:NT14"/>
    <mergeCell ref="PM23:PN23"/>
    <mergeCell ref="DT5:DU5"/>
    <mergeCell ref="GN6:GO6"/>
    <mergeCell ref="PI15:PJ15"/>
    <mergeCell ref="OP21:OQ21"/>
    <mergeCell ref="HU9:HV9"/>
    <mergeCell ref="HZ25:IA25"/>
    <mergeCell ref="FS19:FT19"/>
    <mergeCell ref="PI33:PJ33"/>
    <mergeCell ref="HM7:HN7"/>
    <mergeCell ref="OY9:OZ9"/>
    <mergeCell ref="Z7:AA7"/>
    <mergeCell ref="AD9:AE9"/>
    <mergeCell ref="AQ18:AR18"/>
    <mergeCell ref="EF10:EG10"/>
    <mergeCell ref="HM11:HN11"/>
    <mergeCell ref="AU26:AV26"/>
    <mergeCell ref="CC16:CD16"/>
    <mergeCell ref="BH29:BI29"/>
    <mergeCell ref="IY9:IZ9"/>
    <mergeCell ref="LB32:LC32"/>
    <mergeCell ref="LW30:LX30"/>
    <mergeCell ref="KB30:KC30"/>
    <mergeCell ref="IH31:II31"/>
    <mergeCell ref="AQ30:AR30"/>
    <mergeCell ref="HI8:HJ8"/>
    <mergeCell ref="AQ14:AR14"/>
    <mergeCell ref="PM34:PN34"/>
    <mergeCell ref="JC15:JD15"/>
    <mergeCell ref="LS21:LT21"/>
    <mergeCell ref="DO33:DP33"/>
    <mergeCell ref="MJ33:MK33"/>
    <mergeCell ref="OB24:OC24"/>
    <mergeCell ref="DG34:DH34"/>
    <mergeCell ref="IH17:II17"/>
    <mergeCell ref="IH11:II11"/>
    <mergeCell ref="OY7:OZ7"/>
    <mergeCell ref="PM14:PN14"/>
    <mergeCell ref="PD34:PE34"/>
    <mergeCell ref="OG31:OH31"/>
    <mergeCell ref="PM13:PN13"/>
    <mergeCell ref="PM7:PN7"/>
    <mergeCell ref="CC21:CD21"/>
    <mergeCell ref="PI32:PJ32"/>
    <mergeCell ref="PD24:PE24"/>
    <mergeCell ref="OT19:OU19"/>
    <mergeCell ref="PD18:PE18"/>
    <mergeCell ref="PI31:PJ31"/>
    <mergeCell ref="NS34:NT34"/>
    <mergeCell ref="JS33:JT33"/>
    <mergeCell ref="MB11:MC11"/>
    <mergeCell ref="GA28:GB28"/>
    <mergeCell ref="HU22:HV22"/>
    <mergeCell ref="JO33:JP33"/>
    <mergeCell ref="MB27:MC27"/>
    <mergeCell ref="MF17:MG17"/>
    <mergeCell ref="IL19:IM19"/>
    <mergeCell ref="HI23:HJ23"/>
    <mergeCell ref="IT17:IU17"/>
    <mergeCell ref="PM15:PN15"/>
    <mergeCell ref="LS8:LT8"/>
    <mergeCell ref="OY33:OZ33"/>
    <mergeCell ref="LW8:LX8"/>
    <mergeCell ref="GV12:GW12"/>
    <mergeCell ref="NX26:NY26"/>
    <mergeCell ref="CJ1:CK2"/>
    <mergeCell ref="ES25:ET25"/>
    <mergeCell ref="NO10:NP10"/>
    <mergeCell ref="MW24:MX24"/>
    <mergeCell ref="JG6:JH6"/>
    <mergeCell ref="CC18:CD18"/>
    <mergeCell ref="IY11:IZ11"/>
    <mergeCell ref="OP14:OQ14"/>
    <mergeCell ref="MJ17:MK17"/>
    <mergeCell ref="DO18:DP18"/>
    <mergeCell ref="IP19:IQ19"/>
    <mergeCell ref="EF21:EG21"/>
    <mergeCell ref="HU26:HV26"/>
    <mergeCell ref="FN3:FO3"/>
    <mergeCell ref="KB1:KC1"/>
    <mergeCell ref="JO1:JP1"/>
    <mergeCell ref="IJ1:IK2"/>
    <mergeCell ref="MF6:MG6"/>
    <mergeCell ref="CN1:CO2"/>
    <mergeCell ref="ND1:NE2"/>
    <mergeCell ref="CC3:CD3"/>
    <mergeCell ref="CT1:CU1"/>
    <mergeCell ref="JS6:JT6"/>
    <mergeCell ref="HA31:HB31"/>
    <mergeCell ref="JA1:JB2"/>
    <mergeCell ref="MB7:MC7"/>
    <mergeCell ref="D20:E20"/>
    <mergeCell ref="LS23:LT23"/>
    <mergeCell ref="AY12:AZ12"/>
    <mergeCell ref="IH13:II13"/>
    <mergeCell ref="DO35:DP35"/>
    <mergeCell ref="EW25:EX25"/>
    <mergeCell ref="HU35:HV35"/>
    <mergeCell ref="D22:E22"/>
    <mergeCell ref="NB20:NC20"/>
    <mergeCell ref="MJ34:MK34"/>
    <mergeCell ref="MJ28:MK28"/>
    <mergeCell ref="PD8:PE8"/>
    <mergeCell ref="HU34:HV34"/>
    <mergeCell ref="NS32:NT32"/>
    <mergeCell ref="AY13:AZ13"/>
    <mergeCell ref="IL21:IM21"/>
    <mergeCell ref="D13:E13"/>
    <mergeCell ref="LF20:LG20"/>
    <mergeCell ref="NB22:NC22"/>
    <mergeCell ref="MJ30:MK30"/>
    <mergeCell ref="CG33:CH33"/>
    <mergeCell ref="GJ32:GK32"/>
    <mergeCell ref="M25:N25"/>
    <mergeCell ref="NS27:NT27"/>
    <mergeCell ref="JG34:JH34"/>
    <mergeCell ref="LF15:LG15"/>
    <mergeCell ref="JC28:JD28"/>
    <mergeCell ref="D35:E35"/>
    <mergeCell ref="D34:E34"/>
    <mergeCell ref="NB35:NC35"/>
    <mergeCell ref="KN13:KO13"/>
    <mergeCell ref="OY28:OZ28"/>
    <mergeCell ref="D4:E4"/>
    <mergeCell ref="NJ6:NK6"/>
    <mergeCell ref="M33:N33"/>
    <mergeCell ref="HA12:HB12"/>
    <mergeCell ref="QG8:QH8"/>
    <mergeCell ref="OT29:OU29"/>
    <mergeCell ref="HU25:HV25"/>
    <mergeCell ref="HA4:HB4"/>
    <mergeCell ref="OG21:OH21"/>
    <mergeCell ref="JC30:JD30"/>
    <mergeCell ref="PY1:PY3"/>
    <mergeCell ref="CL4:CM4"/>
    <mergeCell ref="NB4:NC4"/>
    <mergeCell ref="D33:E33"/>
    <mergeCell ref="AY25:AZ25"/>
    <mergeCell ref="HA14:HB14"/>
    <mergeCell ref="QG10:QH10"/>
    <mergeCell ref="HI1:HJ1"/>
    <mergeCell ref="NJ1:NK1"/>
    <mergeCell ref="DC26:DD26"/>
    <mergeCell ref="DC9:DD9"/>
    <mergeCell ref="NS9:NT9"/>
    <mergeCell ref="IT27:IU27"/>
    <mergeCell ref="HZ6:IA6"/>
    <mergeCell ref="FW19:FX19"/>
    <mergeCell ref="MS12:MT12"/>
    <mergeCell ref="DC17:DD17"/>
    <mergeCell ref="OK3:OL3"/>
    <mergeCell ref="EO24:EP24"/>
    <mergeCell ref="DC11:DD11"/>
    <mergeCell ref="LF33:LG33"/>
    <mergeCell ref="JO22:JP22"/>
    <mergeCell ref="V9:W9"/>
    <mergeCell ref="PW3:PX3"/>
    <mergeCell ref="NJ19:NK19"/>
    <mergeCell ref="DT24:DU24"/>
    <mergeCell ref="FF31:FG31"/>
    <mergeCell ref="BY32:BZ32"/>
    <mergeCell ref="ES6:ET6"/>
    <mergeCell ref="HA25:HB25"/>
    <mergeCell ref="MO32:MP32"/>
    <mergeCell ref="HI12:HJ12"/>
    <mergeCell ref="KW7:KX7"/>
    <mergeCell ref="OD1:OD3"/>
    <mergeCell ref="V11:W11"/>
    <mergeCell ref="GA26:GB26"/>
    <mergeCell ref="PW5:PX5"/>
    <mergeCell ref="FW11:FX11"/>
    <mergeCell ref="EK4:EL4"/>
    <mergeCell ref="FN22:FO22"/>
    <mergeCell ref="MJ15:MK15"/>
    <mergeCell ref="CT20:CU20"/>
    <mergeCell ref="EW16:EX16"/>
    <mergeCell ref="LJ31:LK31"/>
    <mergeCell ref="OG15:OH15"/>
    <mergeCell ref="GV6:GW6"/>
    <mergeCell ref="ES19:ET19"/>
    <mergeCell ref="EF11:EG11"/>
    <mergeCell ref="LO12:LP12"/>
    <mergeCell ref="AD19:AE19"/>
    <mergeCell ref="OB26:OC26"/>
    <mergeCell ref="PD17:PE17"/>
    <mergeCell ref="NB31:NC31"/>
    <mergeCell ref="DG28:DH28"/>
    <mergeCell ref="PW4:PX4"/>
    <mergeCell ref="FN28:FO28"/>
    <mergeCell ref="EB21:EC21"/>
    <mergeCell ref="QG5:QH5"/>
    <mergeCell ref="EF1:EG1"/>
    <mergeCell ref="JK7:JL7"/>
    <mergeCell ref="FF6:FG6"/>
    <mergeCell ref="HI17:HJ17"/>
    <mergeCell ref="MS14:MT14"/>
    <mergeCell ref="EO26:EP26"/>
    <mergeCell ref="QE1:QF2"/>
    <mergeCell ref="PW29:PX29"/>
    <mergeCell ref="LU1:LV2"/>
    <mergeCell ref="GN8:GO8"/>
    <mergeCell ref="CP20:CQ20"/>
    <mergeCell ref="MW1:MX1"/>
    <mergeCell ref="JX31:JY31"/>
    <mergeCell ref="HM18:HN18"/>
    <mergeCell ref="GP1:GQ2"/>
    <mergeCell ref="HI25:HJ25"/>
    <mergeCell ref="GJ8:GK8"/>
    <mergeCell ref="PR14:PS14"/>
    <mergeCell ref="FW1:FX1"/>
    <mergeCell ref="LO1:LP1"/>
    <mergeCell ref="OB6:OC6"/>
    <mergeCell ref="NJ20:NK20"/>
    <mergeCell ref="JK25:JL25"/>
    <mergeCell ref="MS25:MT25"/>
    <mergeCell ref="OK16:OL16"/>
    <mergeCell ref="EB12:EC12"/>
    <mergeCell ref="HI11:HJ11"/>
    <mergeCell ref="PM24:PN24"/>
    <mergeCell ref="QG1:QH1"/>
    <mergeCell ref="LF4:LG4"/>
    <mergeCell ref="NJ17:NK17"/>
    <mergeCell ref="OK5:OL5"/>
    <mergeCell ref="HI27:HJ27"/>
    <mergeCell ref="FW20:FX20"/>
    <mergeCell ref="FW14:FX14"/>
    <mergeCell ref="MB31:MC31"/>
    <mergeCell ref="Q20:R20"/>
    <mergeCell ref="Q14:R14"/>
    <mergeCell ref="OK12:OL12"/>
    <mergeCell ref="GR31:GS31"/>
    <mergeCell ref="NF23:NG23"/>
    <mergeCell ref="AH11:AI11"/>
    <mergeCell ref="AU27:AV27"/>
    <mergeCell ref="NS10:NT10"/>
    <mergeCell ref="AM25:AN25"/>
    <mergeCell ref="FS30:FT30"/>
    <mergeCell ref="NJ29:NK29"/>
    <mergeCell ref="MF28:MG28"/>
    <mergeCell ref="MW26:MX26"/>
    <mergeCell ref="PW31:PX31"/>
    <mergeCell ref="AD24:AE24"/>
    <mergeCell ref="GE1:GF1"/>
    <mergeCell ref="LO11:LP11"/>
    <mergeCell ref="BY16:BZ16"/>
    <mergeCell ref="EB14:EC14"/>
    <mergeCell ref="KN10:KO10"/>
    <mergeCell ref="FN4:FO4"/>
    <mergeCell ref="ES17:ET17"/>
    <mergeCell ref="JC6:JD6"/>
    <mergeCell ref="BY18:BZ18"/>
    <mergeCell ref="D32:E32"/>
    <mergeCell ref="NO34:NP34"/>
    <mergeCell ref="OK1:OL1"/>
    <mergeCell ref="MB34:MC34"/>
    <mergeCell ref="AM5:AN5"/>
    <mergeCell ref="J1:J3"/>
    <mergeCell ref="LW9:LX9"/>
    <mergeCell ref="NS11:NT11"/>
    <mergeCell ref="FW10:FX10"/>
    <mergeCell ref="HA28:HB28"/>
    <mergeCell ref="JK5:JL5"/>
    <mergeCell ref="IF1:IG2"/>
    <mergeCell ref="NB28:NC28"/>
    <mergeCell ref="PO1:PO3"/>
    <mergeCell ref="MO3:MP3"/>
    <mergeCell ref="BD10:BE10"/>
    <mergeCell ref="LW11:LX11"/>
    <mergeCell ref="HA21:HB21"/>
    <mergeCell ref="BJ1:BK2"/>
    <mergeCell ref="KW3:KX3"/>
    <mergeCell ref="MS5:MT5"/>
    <mergeCell ref="LF26:LG26"/>
    <mergeCell ref="EW33:EX33"/>
    <mergeCell ref="HZ16:IA16"/>
    <mergeCell ref="PD26:PE26"/>
    <mergeCell ref="LW27:LX27"/>
    <mergeCell ref="CG32:CH32"/>
    <mergeCell ref="CG26:CH26"/>
    <mergeCell ref="BY10:BZ10"/>
    <mergeCell ref="HQ34:HR34"/>
    <mergeCell ref="H20:I20"/>
    <mergeCell ref="BL6:BM6"/>
    <mergeCell ref="QG27:QH27"/>
    <mergeCell ref="NS6:NT6"/>
    <mergeCell ref="CP8:CQ8"/>
    <mergeCell ref="NF8:NG8"/>
    <mergeCell ref="HA23:HB23"/>
    <mergeCell ref="M10:N10"/>
    <mergeCell ref="H5:I5"/>
    <mergeCell ref="DG29:DH29"/>
    <mergeCell ref="GR15:GS15"/>
    <mergeCell ref="QG16:QH16"/>
    <mergeCell ref="HI34:HJ34"/>
    <mergeCell ref="KF9:KG9"/>
    <mergeCell ref="AM13:AN13"/>
    <mergeCell ref="HE5:HF5"/>
    <mergeCell ref="PW27:PX27"/>
    <mergeCell ref="CP5:CQ5"/>
    <mergeCell ref="FS21:FT21"/>
    <mergeCell ref="OK14:OL14"/>
    <mergeCell ref="EB10:EC10"/>
    <mergeCell ref="KN6:KO6"/>
    <mergeCell ref="ES13:ET13"/>
    <mergeCell ref="PI13:PJ13"/>
    <mergeCell ref="KF11:KG11"/>
    <mergeCell ref="JK24:JL24"/>
    <mergeCell ref="FW25:FX25"/>
    <mergeCell ref="JK18:JL18"/>
    <mergeCell ref="QG11:QH11"/>
    <mergeCell ref="OB20:OC20"/>
    <mergeCell ref="BD29:BE29"/>
    <mergeCell ref="AU32:AV32"/>
    <mergeCell ref="IL12:IM12"/>
    <mergeCell ref="OG32:OH32"/>
    <mergeCell ref="QB1:QC1"/>
    <mergeCell ref="FN30:FO30"/>
    <mergeCell ref="CX7:CY7"/>
    <mergeCell ref="EB23:EC23"/>
    <mergeCell ref="JS32:JT32"/>
    <mergeCell ref="IY13:IZ13"/>
    <mergeCell ref="CT28:CU28"/>
    <mergeCell ref="PD22:PE22"/>
    <mergeCell ref="GR13:GS13"/>
    <mergeCell ref="FN29:FO29"/>
    <mergeCell ref="NF20:NG20"/>
    <mergeCell ref="DG32:DH32"/>
    <mergeCell ref="GN33:GO33"/>
    <mergeCell ref="KJ15:KK15"/>
    <mergeCell ref="KB31:KC31"/>
    <mergeCell ref="KW16:KX16"/>
    <mergeCell ref="NX6:NY6"/>
    <mergeCell ref="LO8:LP8"/>
    <mergeCell ref="FQ1:FR2"/>
    <mergeCell ref="PI10:PJ10"/>
    <mergeCell ref="OB22:OC22"/>
    <mergeCell ref="EO1:EP1"/>
    <mergeCell ref="JS3:JT3"/>
    <mergeCell ref="LB1:LC1"/>
    <mergeCell ref="KN30:KO30"/>
    <mergeCell ref="IL14:IM14"/>
    <mergeCell ref="IH32:II32"/>
    <mergeCell ref="MO16:MP16"/>
    <mergeCell ref="EK28:EL28"/>
    <mergeCell ref="OG22:OH22"/>
    <mergeCell ref="IP14:IQ14"/>
    <mergeCell ref="KR27:KS27"/>
    <mergeCell ref="BL34:BM34"/>
    <mergeCell ref="NS35:NT35"/>
    <mergeCell ref="HE1:HF1"/>
    <mergeCell ref="CP1:CQ1"/>
    <mergeCell ref="MO25:MP25"/>
    <mergeCell ref="DX12:DY12"/>
    <mergeCell ref="KJ8:KK8"/>
    <mergeCell ref="BP32:BQ32"/>
    <mergeCell ref="BD23:BE23"/>
    <mergeCell ref="EK29:EL29"/>
    <mergeCell ref="IT11:IU11"/>
    <mergeCell ref="BU13:BV13"/>
    <mergeCell ref="NS16:NT16"/>
    <mergeCell ref="IT9:IU9"/>
    <mergeCell ref="BY3:BZ3"/>
    <mergeCell ref="NB1:NC1"/>
    <mergeCell ref="FN31:FO31"/>
    <mergeCell ref="CX8:CY8"/>
    <mergeCell ref="CC15:CD15"/>
    <mergeCell ref="LO23:LP23"/>
    <mergeCell ref="ID13:IE13"/>
    <mergeCell ref="LF35:LG35"/>
    <mergeCell ref="DK34:DL34"/>
    <mergeCell ref="GR35:GS35"/>
    <mergeCell ref="CC35:CD35"/>
    <mergeCell ref="GR34:GS34"/>
    <mergeCell ref="EO30:EP30"/>
    <mergeCell ref="BY7:BZ7"/>
    <mergeCell ref="BH11:BI11"/>
    <mergeCell ref="ID24:IE24"/>
    <mergeCell ref="FS1:FT1"/>
    <mergeCell ref="JC34:JD34"/>
    <mergeCell ref="DC35:DD35"/>
    <mergeCell ref="JK21:JL21"/>
    <mergeCell ref="CP10:CQ10"/>
    <mergeCell ref="NF10:NG10"/>
    <mergeCell ref="HZ14:IA14"/>
    <mergeCell ref="HE27:HF27"/>
    <mergeCell ref="KB29:KC29"/>
    <mergeCell ref="MO7:MP7"/>
    <mergeCell ref="KB23:KC23"/>
    <mergeCell ref="NF19:NG19"/>
    <mergeCell ref="EO6:EP6"/>
    <mergeCell ref="HQ35:HR35"/>
    <mergeCell ref="KB11:KC11"/>
    <mergeCell ref="EO15:EP15"/>
    <mergeCell ref="DX5:DY5"/>
    <mergeCell ref="EB5:EC5"/>
    <mergeCell ref="CX6:CY6"/>
    <mergeCell ref="IY6:IZ6"/>
    <mergeCell ref="LB31:LC31"/>
    <mergeCell ref="IP5:IQ5"/>
    <mergeCell ref="GJ5:GK5"/>
    <mergeCell ref="HE26:HF26"/>
    <mergeCell ref="HE9:HF9"/>
    <mergeCell ref="DO32:DP32"/>
    <mergeCell ref="ES35:ET35"/>
    <mergeCell ref="IY32:IZ32"/>
    <mergeCell ref="GE35:GF35"/>
    <mergeCell ref="GR33:GS33"/>
    <mergeCell ref="IP10:IQ10"/>
    <mergeCell ref="CX28:CY28"/>
    <mergeCell ref="ID33:IE33"/>
    <mergeCell ref="KF29:KG29"/>
    <mergeCell ref="H33:I33"/>
    <mergeCell ref="DG27:DH27"/>
    <mergeCell ref="Q9:R9"/>
    <mergeCell ref="GN31:GO31"/>
    <mergeCell ref="DC15:DD15"/>
    <mergeCell ref="M23:N23"/>
    <mergeCell ref="QB10:QC10"/>
    <mergeCell ref="IH21:II21"/>
    <mergeCell ref="KB15:KC15"/>
    <mergeCell ref="LW7:LX7"/>
    <mergeCell ref="HU15:HV15"/>
    <mergeCell ref="BP30:BQ30"/>
    <mergeCell ref="OT9:OU9"/>
    <mergeCell ref="IL23:IM23"/>
    <mergeCell ref="CC33:CD33"/>
    <mergeCell ref="BP25:BQ25"/>
    <mergeCell ref="JG13:JH13"/>
    <mergeCell ref="NO27:NP27"/>
    <mergeCell ref="BD20:BE20"/>
    <mergeCell ref="BU32:BV32"/>
    <mergeCell ref="BP28:BQ28"/>
    <mergeCell ref="OG16:OH16"/>
    <mergeCell ref="AY22:AZ22"/>
    <mergeCell ref="M29:N29"/>
    <mergeCell ref="Q29:R29"/>
    <mergeCell ref="Q23:R23"/>
    <mergeCell ref="GA17:GB17"/>
    <mergeCell ref="HM24:HN24"/>
    <mergeCell ref="CC32:CD32"/>
    <mergeCell ref="CC26:CD26"/>
    <mergeCell ref="AQ33:AR33"/>
    <mergeCell ref="BL30:BM30"/>
    <mergeCell ref="Q31:R31"/>
    <mergeCell ref="OT28:OU28"/>
    <mergeCell ref="OY10:OZ10"/>
    <mergeCell ref="FS17:FT17"/>
    <mergeCell ref="GN14:GO14"/>
    <mergeCell ref="FS27:FT27"/>
    <mergeCell ref="H35:I35"/>
    <mergeCell ref="CG4:CH4"/>
    <mergeCell ref="MW4:MX4"/>
    <mergeCell ref="BL17:BM17"/>
    <mergeCell ref="MB17:MC17"/>
    <mergeCell ref="GV14:GW14"/>
    <mergeCell ref="CC29:CD29"/>
    <mergeCell ref="JS16:JT16"/>
    <mergeCell ref="HM26:HN26"/>
    <mergeCell ref="LB20:LC20"/>
    <mergeCell ref="LB14:LC14"/>
    <mergeCell ref="BL19:BM19"/>
    <mergeCell ref="KJ28:KK28"/>
    <mergeCell ref="AQ32:AR32"/>
    <mergeCell ref="IH12:II12"/>
    <mergeCell ref="AH35:AI35"/>
    <mergeCell ref="AM33:AN33"/>
    <mergeCell ref="M27:N27"/>
    <mergeCell ref="JK35:JL35"/>
    <mergeCell ref="KW35:KX35"/>
    <mergeCell ref="CX11:CY11"/>
    <mergeCell ref="AY32:AZ32"/>
    <mergeCell ref="IP29:IQ29"/>
    <mergeCell ref="KJ6:KK6"/>
    <mergeCell ref="HE11:HF11"/>
    <mergeCell ref="EO13:EP13"/>
    <mergeCell ref="Q17:R17"/>
    <mergeCell ref="LB4:LC4"/>
    <mergeCell ref="OT35:OU35"/>
    <mergeCell ref="Q11:R11"/>
    <mergeCell ref="FB5:FC5"/>
    <mergeCell ref="NO9:NP9"/>
    <mergeCell ref="PR5:PS5"/>
    <mergeCell ref="IP27:IQ27"/>
    <mergeCell ref="EF4:EG4"/>
    <mergeCell ref="PR31:PS31"/>
    <mergeCell ref="FB31:FC31"/>
    <mergeCell ref="LJ12:LK12"/>
    <mergeCell ref="PI26:PJ26"/>
    <mergeCell ref="BD31:BE31"/>
    <mergeCell ref="PI18:PJ18"/>
    <mergeCell ref="Q8:R8"/>
    <mergeCell ref="CT5:CU5"/>
    <mergeCell ref="HQ15:HR15"/>
    <mergeCell ref="LS34:LT34"/>
    <mergeCell ref="KR6:KS6"/>
    <mergeCell ref="EF34:EG34"/>
    <mergeCell ref="AU25:AV25"/>
    <mergeCell ref="BY35:BZ35"/>
    <mergeCell ref="FN27:FO27"/>
    <mergeCell ref="KJ13:KK13"/>
    <mergeCell ref="OY21:OZ21"/>
    <mergeCell ref="PD35:PE35"/>
    <mergeCell ref="OT11:OU11"/>
    <mergeCell ref="OY8:OZ8"/>
    <mergeCell ref="BD35:BE35"/>
    <mergeCell ref="OB29:OC29"/>
    <mergeCell ref="MB14:MC14"/>
    <mergeCell ref="OY6:OZ6"/>
    <mergeCell ref="CL5:CM5"/>
    <mergeCell ref="HZ12:IA12"/>
    <mergeCell ref="PR3:PS3"/>
    <mergeCell ref="HA5:HB5"/>
    <mergeCell ref="PD6:PE6"/>
    <mergeCell ref="KR13:KS13"/>
    <mergeCell ref="KR7:KS7"/>
    <mergeCell ref="DK18:DL18"/>
    <mergeCell ref="DK24:DL24"/>
    <mergeCell ref="EO17:EP17"/>
    <mergeCell ref="MW9:MX9"/>
    <mergeCell ref="CI1:CI3"/>
    <mergeCell ref="MY1:MY3"/>
    <mergeCell ref="NF1:NG1"/>
    <mergeCell ref="ID18:IE18"/>
    <mergeCell ref="DX13:DY13"/>
    <mergeCell ref="NS15:NT15"/>
    <mergeCell ref="JS13:JT13"/>
    <mergeCell ref="IT15:IU15"/>
    <mergeCell ref="DT10:DU10"/>
    <mergeCell ref="KW5:KX5"/>
    <mergeCell ref="JQ1:JR2"/>
    <mergeCell ref="NS7:NT7"/>
    <mergeCell ref="DO24:DP24"/>
    <mergeCell ref="LJ14:LK14"/>
    <mergeCell ref="JX23:JY23"/>
    <mergeCell ref="GV4:GW4"/>
    <mergeCell ref="LL1:LL3"/>
    <mergeCell ref="GT1:GU2"/>
    <mergeCell ref="DE1:DF2"/>
    <mergeCell ref="OY4:OZ4"/>
    <mergeCell ref="BY34:BZ34"/>
    <mergeCell ref="HU16:HV16"/>
    <mergeCell ref="LJ8:LK8"/>
    <mergeCell ref="JK22:JL22"/>
    <mergeCell ref="NX24:NY24"/>
    <mergeCell ref="HA27:HB27"/>
    <mergeCell ref="JX29:JY29"/>
    <mergeCell ref="HU33:HV33"/>
    <mergeCell ref="DC18:DD18"/>
    <mergeCell ref="DK5:DL5"/>
    <mergeCell ref="BY26:BZ26"/>
    <mergeCell ref="OB5:OC5"/>
    <mergeCell ref="CG8:CH8"/>
    <mergeCell ref="EO34:EP34"/>
    <mergeCell ref="KB3:KC3"/>
    <mergeCell ref="FB7:FC7"/>
    <mergeCell ref="DC6:DD6"/>
    <mergeCell ref="NB33:NC33"/>
    <mergeCell ref="DX8:DY8"/>
    <mergeCell ref="KR10:KS10"/>
    <mergeCell ref="KB27:KC27"/>
    <mergeCell ref="EW17:EX17"/>
    <mergeCell ref="MO5:MP5"/>
    <mergeCell ref="FW18:FX18"/>
    <mergeCell ref="CL8:CM8"/>
    <mergeCell ref="NB8:NC8"/>
    <mergeCell ref="KR25:KS25"/>
    <mergeCell ref="IP9:IQ9"/>
    <mergeCell ref="MB5:MC5"/>
    <mergeCell ref="CL10:CM10"/>
    <mergeCell ref="GN29:GO29"/>
    <mergeCell ref="GN23:GO23"/>
    <mergeCell ref="B1:C2"/>
    <mergeCell ref="GR6:GS6"/>
    <mergeCell ref="CL21:CM21"/>
    <mergeCell ref="NB21:NC21"/>
    <mergeCell ref="H31:I31"/>
    <mergeCell ref="ID5:IE5"/>
    <mergeCell ref="MB13:MC13"/>
    <mergeCell ref="NF29:NG29"/>
    <mergeCell ref="JO4:JP4"/>
    <mergeCell ref="GV10:GW10"/>
    <mergeCell ref="BU11:BV11"/>
    <mergeCell ref="EO10:EP10"/>
    <mergeCell ref="PI23:PJ23"/>
    <mergeCell ref="DX30:DY30"/>
    <mergeCell ref="MZ1:NA2"/>
    <mergeCell ref="JS12:JT12"/>
    <mergeCell ref="CL23:CM23"/>
    <mergeCell ref="NB23:NC23"/>
    <mergeCell ref="AQ3:AR3"/>
    <mergeCell ref="DX29:DY29"/>
    <mergeCell ref="PI16:PJ16"/>
    <mergeCell ref="LJ25:LK25"/>
    <mergeCell ref="OY17:OZ17"/>
    <mergeCell ref="JS14:JT14"/>
    <mergeCell ref="FJ28:FK28"/>
    <mergeCell ref="DX21:DY21"/>
    <mergeCell ref="HW1:HW3"/>
    <mergeCell ref="OK20:OL20"/>
    <mergeCell ref="MS29:MT29"/>
    <mergeCell ref="MO14:MP14"/>
    <mergeCell ref="EB4:EC4"/>
    <mergeCell ref="LF1:LG1"/>
    <mergeCell ref="QG9:QH9"/>
    <mergeCell ref="BH10:BI10"/>
    <mergeCell ref="GE16:GF16"/>
    <mergeCell ref="FJ29:FK29"/>
    <mergeCell ref="DC29:DD29"/>
    <mergeCell ref="ID3:IE3"/>
    <mergeCell ref="PW20:PX20"/>
    <mergeCell ref="FN10:FO10"/>
    <mergeCell ref="MW28:MX28"/>
    <mergeCell ref="Z34:AA34"/>
    <mergeCell ref="Z28:AA28"/>
    <mergeCell ref="MJ3:MK3"/>
    <mergeCell ref="CT8:CU8"/>
    <mergeCell ref="GE18:GF18"/>
    <mergeCell ref="KW24:KX24"/>
    <mergeCell ref="OP27:OQ27"/>
    <mergeCell ref="GA34:GB34"/>
    <mergeCell ref="PW22:PX22"/>
    <mergeCell ref="QG4:QH4"/>
    <mergeCell ref="GR21:GS21"/>
    <mergeCell ref="MW30:MX30"/>
    <mergeCell ref="Z30:AA30"/>
    <mergeCell ref="MJ5:MK5"/>
    <mergeCell ref="DK13:DL13"/>
    <mergeCell ref="PW15:PX15"/>
    <mergeCell ref="LB29:LC29"/>
    <mergeCell ref="NO7:NP7"/>
    <mergeCell ref="OP22:OQ22"/>
    <mergeCell ref="LB23:LC23"/>
    <mergeCell ref="MB28:MC28"/>
    <mergeCell ref="HM34:HN34"/>
    <mergeCell ref="MW31:MX31"/>
    <mergeCell ref="Q10:R10"/>
    <mergeCell ref="BY33:BZ33"/>
    <mergeCell ref="HU21:HV21"/>
    <mergeCell ref="PR27:PS27"/>
    <mergeCell ref="FN21:FO21"/>
    <mergeCell ref="LS11:LT11"/>
    <mergeCell ref="JC13:JD13"/>
    <mergeCell ref="BF1:BG2"/>
    <mergeCell ref="QB18:QC18"/>
    <mergeCell ref="OP11:OQ11"/>
    <mergeCell ref="BH23:BI23"/>
    <mergeCell ref="DO23:DP23"/>
    <mergeCell ref="JX10:JY10"/>
    <mergeCell ref="IL3:IM3"/>
    <mergeCell ref="AH15:AI15"/>
    <mergeCell ref="LB26:LC26"/>
    <mergeCell ref="HU23:HV23"/>
    <mergeCell ref="NO33:NP33"/>
    <mergeCell ref="AY29:AZ29"/>
    <mergeCell ref="MJ16:MK16"/>
    <mergeCell ref="CT21:CU21"/>
    <mergeCell ref="EF28:EG28"/>
    <mergeCell ref="Q21:R21"/>
    <mergeCell ref="AH33:AI33"/>
    <mergeCell ref="HU14:HV14"/>
    <mergeCell ref="FN20:FO20"/>
    <mergeCell ref="CP4:CQ4"/>
    <mergeCell ref="OB21:OC21"/>
    <mergeCell ref="PR7:PS7"/>
    <mergeCell ref="FS12:FT12"/>
    <mergeCell ref="BD27:BE27"/>
    <mergeCell ref="NF17:NG17"/>
    <mergeCell ref="NO35:NP35"/>
    <mergeCell ref="AY31:AZ31"/>
    <mergeCell ref="MJ18:MK18"/>
    <mergeCell ref="NS13:NT13"/>
    <mergeCell ref="HA1:HB1"/>
    <mergeCell ref="EF30:EG30"/>
    <mergeCell ref="HU24:HV24"/>
    <mergeCell ref="BP34:BQ34"/>
    <mergeCell ref="HU18:HV18"/>
    <mergeCell ref="LJ10:LK10"/>
    <mergeCell ref="CL1:CM1"/>
    <mergeCell ref="KR24:KS24"/>
    <mergeCell ref="KR18:KS18"/>
    <mergeCell ref="OG12:OH12"/>
    <mergeCell ref="IL30:IM30"/>
    <mergeCell ref="GJ14:GK14"/>
    <mergeCell ref="JG16:JH16"/>
    <mergeCell ref="IL29:IM29"/>
    <mergeCell ref="OG14:OH14"/>
    <mergeCell ref="JX28:JY28"/>
    <mergeCell ref="FS25:FT25"/>
    <mergeCell ref="JG18:JH18"/>
    <mergeCell ref="IL31:IM31"/>
    <mergeCell ref="OB25:OC25"/>
    <mergeCell ref="JX30:JY30"/>
    <mergeCell ref="JO16:JP16"/>
    <mergeCell ref="LS7:LT7"/>
    <mergeCell ref="HA9:HB9"/>
    <mergeCell ref="NF18:NG18"/>
    <mergeCell ref="DC34:DD34"/>
    <mergeCell ref="LB33:LC33"/>
    <mergeCell ref="GE25:GF25"/>
    <mergeCell ref="V6:W6"/>
    <mergeCell ref="LJ21:LK21"/>
    <mergeCell ref="FF22:FG22"/>
    <mergeCell ref="AQ1:AR1"/>
    <mergeCell ref="KF13:KG13"/>
    <mergeCell ref="PI14:PJ14"/>
    <mergeCell ref="MB15:MC15"/>
    <mergeCell ref="LJ23:LK23"/>
    <mergeCell ref="JO3:JP3"/>
    <mergeCell ref="GJ33:GK33"/>
    <mergeCell ref="IT10:IU10"/>
    <mergeCell ref="ID27:IE27"/>
    <mergeCell ref="KF15:KG15"/>
    <mergeCell ref="BH6:BI6"/>
    <mergeCell ref="MS20:MT20"/>
    <mergeCell ref="NX4:NY4"/>
    <mergeCell ref="DT12:DU12"/>
    <mergeCell ref="FN6:FO6"/>
    <mergeCell ref="KF8:KG8"/>
    <mergeCell ref="GR22:GS22"/>
    <mergeCell ref="DK15:DL15"/>
    <mergeCell ref="GR14:GS14"/>
    <mergeCell ref="EW14:EX14"/>
    <mergeCell ref="BD11:BE11"/>
    <mergeCell ref="KF28:KG28"/>
    <mergeCell ref="BH19:BI19"/>
    <mergeCell ref="CG1:CH1"/>
    <mergeCell ref="MS33:MT33"/>
    <mergeCell ref="ID12:IE12"/>
    <mergeCell ref="AY27:AZ27"/>
    <mergeCell ref="AQ25:AR25"/>
    <mergeCell ref="GJ31:GK31"/>
    <mergeCell ref="QG34:QH34"/>
    <mergeCell ref="BU35:BV35"/>
    <mergeCell ref="KW20:KX20"/>
    <mergeCell ref="JU1:JU3"/>
    <mergeCell ref="MS22:MT22"/>
    <mergeCell ref="DC27:DD27"/>
    <mergeCell ref="HM4:HN4"/>
    <mergeCell ref="KF10:KG10"/>
    <mergeCell ref="FF4:FG4"/>
    <mergeCell ref="EK17:EL17"/>
    <mergeCell ref="MJ1:MK1"/>
    <mergeCell ref="DG33:DH33"/>
    <mergeCell ref="M1:N1"/>
    <mergeCell ref="FF14:FG14"/>
    <mergeCell ref="DT7:DU7"/>
    <mergeCell ref="FN1:FO1"/>
    <mergeCell ref="GR19:GS19"/>
    <mergeCell ref="DK14:DL14"/>
    <mergeCell ref="JO21:JP21"/>
    <mergeCell ref="AQ12:AR12"/>
    <mergeCell ref="IT28:IU28"/>
    <mergeCell ref="HZ7:IA7"/>
    <mergeCell ref="V19:W19"/>
    <mergeCell ref="GR12:GS12"/>
    <mergeCell ref="EO25:EP25"/>
    <mergeCell ref="ID17:IE17"/>
    <mergeCell ref="OK29:OL29"/>
    <mergeCell ref="PM12:PN12"/>
    <mergeCell ref="FW17:FX17"/>
    <mergeCell ref="IT30:IU30"/>
    <mergeCell ref="BH17:BI17"/>
    <mergeCell ref="MS4:MT4"/>
    <mergeCell ref="QG28:QH28"/>
    <mergeCell ref="CP9:CQ9"/>
    <mergeCell ref="FN19:FO19"/>
    <mergeCell ref="ES32:ET32"/>
    <mergeCell ref="KF30:KG30"/>
    <mergeCell ref="MJ12:MK12"/>
    <mergeCell ref="EF24:EG24"/>
    <mergeCell ref="OB3:OC3"/>
    <mergeCell ref="KW33:KX33"/>
    <mergeCell ref="BY24:BZ24"/>
    <mergeCell ref="ID14:IE14"/>
    <mergeCell ref="EB22:EC22"/>
    <mergeCell ref="KF23:KG23"/>
    <mergeCell ref="NB6:NC6"/>
    <mergeCell ref="MJ14:MK14"/>
    <mergeCell ref="CT19:CU19"/>
    <mergeCell ref="EF26:EG26"/>
    <mergeCell ref="LO27:LP27"/>
    <mergeCell ref="HU20:HV20"/>
    <mergeCell ref="OB32:OC32"/>
    <mergeCell ref="OM1:OM3"/>
    <mergeCell ref="FF10:FG10"/>
    <mergeCell ref="DT3:DU3"/>
    <mergeCell ref="LW19:LX19"/>
    <mergeCell ref="OT21:OU21"/>
    <mergeCell ref="IT24:IU24"/>
    <mergeCell ref="HZ3:IA3"/>
    <mergeCell ref="KW22:KX22"/>
    <mergeCell ref="GR8:GS8"/>
    <mergeCell ref="QB19:QC19"/>
    <mergeCell ref="JG21:JH21"/>
    <mergeCell ref="OP28:OQ28"/>
    <mergeCell ref="D12:E12"/>
    <mergeCell ref="NB19:NC19"/>
    <mergeCell ref="OT10:OU10"/>
    <mergeCell ref="KN25:KO25"/>
    <mergeCell ref="EK6:EL6"/>
    <mergeCell ref="D14:E14"/>
    <mergeCell ref="GJ29:GK29"/>
    <mergeCell ref="IT6:IU6"/>
    <mergeCell ref="NS24:NT24"/>
    <mergeCell ref="LF12:LG12"/>
    <mergeCell ref="OT30:OU30"/>
    <mergeCell ref="OP30:OQ30"/>
    <mergeCell ref="ID20:IE20"/>
    <mergeCell ref="GE22:GF22"/>
    <mergeCell ref="DX22:DY22"/>
    <mergeCell ref="AD15:AE15"/>
    <mergeCell ref="FN25:FO25"/>
    <mergeCell ref="DG25:DH25"/>
    <mergeCell ref="H17:I17"/>
    <mergeCell ref="EK18:EL18"/>
    <mergeCell ref="H11:I11"/>
    <mergeCell ref="FJ30:FK30"/>
    <mergeCell ref="CT7:CU7"/>
    <mergeCell ref="OK22:OL22"/>
    <mergeCell ref="DX23:DY23"/>
    <mergeCell ref="ID21:IE21"/>
    <mergeCell ref="IP11:IQ11"/>
    <mergeCell ref="EF9:EG9"/>
    <mergeCell ref="MW22:MX22"/>
    <mergeCell ref="AH18:AI18"/>
    <mergeCell ref="AH17:AI17"/>
    <mergeCell ref="AH19:AI19"/>
    <mergeCell ref="D1:E1"/>
    <mergeCell ref="MJ13:MK13"/>
    <mergeCell ref="AM3:AN3"/>
    <mergeCell ref="DT29:DU29"/>
    <mergeCell ref="LF25:LG25"/>
    <mergeCell ref="LO20:LP20"/>
    <mergeCell ref="DX3:DY3"/>
    <mergeCell ref="AU1:AV1"/>
    <mergeCell ref="EW18:EX18"/>
    <mergeCell ref="BL8:BM8"/>
    <mergeCell ref="IL10:IM10"/>
    <mergeCell ref="GE10:GF10"/>
    <mergeCell ref="DO15:DP15"/>
    <mergeCell ref="CX9:CY9"/>
    <mergeCell ref="HQ17:HR17"/>
    <mergeCell ref="V7:W7"/>
    <mergeCell ref="LO22:LP22"/>
    <mergeCell ref="F1:G2"/>
    <mergeCell ref="BU3:BV3"/>
    <mergeCell ref="MF5:MG5"/>
    <mergeCell ref="GR23:GS23"/>
    <mergeCell ref="EM1:EN2"/>
    <mergeCell ref="HE13:HF13"/>
    <mergeCell ref="KB26:KC26"/>
    <mergeCell ref="IP3:IQ3"/>
    <mergeCell ref="JG23:JH23"/>
    <mergeCell ref="CX17:CY17"/>
    <mergeCell ref="CC24:CD24"/>
    <mergeCell ref="IH14:II14"/>
    <mergeCell ref="HM27:HN27"/>
    <mergeCell ref="IY26:IZ26"/>
    <mergeCell ref="KJ23:KK23"/>
    <mergeCell ref="Q12:R12"/>
    <mergeCell ref="LJ1:LK1"/>
    <mergeCell ref="AU29:AV29"/>
    <mergeCell ref="IL9:IM9"/>
    <mergeCell ref="HQ16:HR16"/>
    <mergeCell ref="LF8:LG8"/>
    <mergeCell ref="GE9:GF9"/>
    <mergeCell ref="AM16:AN16"/>
    <mergeCell ref="JC26:JD26"/>
    <mergeCell ref="D17:E17"/>
    <mergeCell ref="AY9:AZ9"/>
    <mergeCell ref="CG14:CH14"/>
    <mergeCell ref="NZ1:OA2"/>
    <mergeCell ref="ID25:IE25"/>
    <mergeCell ref="OB23:OC23"/>
    <mergeCell ref="M12:N12"/>
    <mergeCell ref="AH24:AI24"/>
    <mergeCell ref="KB10:KC10"/>
    <mergeCell ref="IY28:IZ28"/>
    <mergeCell ref="NF6:NG6"/>
    <mergeCell ref="CX21:CY21"/>
    <mergeCell ref="AM28:AN28"/>
    <mergeCell ref="BU27:BV27"/>
    <mergeCell ref="BD9:BE9"/>
    <mergeCell ref="D10:E10"/>
    <mergeCell ref="IH3:II3"/>
    <mergeCell ref="EW21:EX21"/>
    <mergeCell ref="NO13:NP13"/>
    <mergeCell ref="CG21:CH21"/>
    <mergeCell ref="MW21:MX21"/>
    <mergeCell ref="HQ18:HR18"/>
    <mergeCell ref="LF10:LG10"/>
    <mergeCell ref="D29:E29"/>
    <mergeCell ref="D23:E23"/>
    <mergeCell ref="HI22:HJ22"/>
    <mergeCell ref="Q28:R28"/>
    <mergeCell ref="IP8:IQ8"/>
    <mergeCell ref="FB22:FC22"/>
    <mergeCell ref="MF12:MG12"/>
    <mergeCell ref="AM26:AN26"/>
    <mergeCell ref="DT31:DU31"/>
    <mergeCell ref="PM5:PN5"/>
    <mergeCell ref="HI19:HJ19"/>
    <mergeCell ref="NJ18:NK18"/>
    <mergeCell ref="FF30:FG30"/>
    <mergeCell ref="HZ31:IA31"/>
    <mergeCell ref="FJ8:FK8"/>
    <mergeCell ref="AD5:AE5"/>
    <mergeCell ref="OY25:OZ25"/>
    <mergeCell ref="GA16:GB16"/>
    <mergeCell ref="FF29:FG29"/>
    <mergeCell ref="NJ11:NK11"/>
    <mergeCell ref="MO24:MP24"/>
    <mergeCell ref="PM31:PN31"/>
    <mergeCell ref="AM29:AN29"/>
    <mergeCell ref="AM23:AN23"/>
    <mergeCell ref="OB16:OC16"/>
    <mergeCell ref="JX27:JY27"/>
    <mergeCell ref="AM31:AN31"/>
    <mergeCell ref="DT30:DU30"/>
    <mergeCell ref="BY30:BZ30"/>
    <mergeCell ref="KN7:KO7"/>
    <mergeCell ref="M21:N21"/>
    <mergeCell ref="AY28:AZ28"/>
    <mergeCell ref="OG1:OH1"/>
    <mergeCell ref="GA1:GB1"/>
    <mergeCell ref="CP31:CQ31"/>
    <mergeCell ref="HQ5:HR5"/>
    <mergeCell ref="GL1:GM2"/>
    <mergeCell ref="FJ5:FK5"/>
    <mergeCell ref="JX17:JY17"/>
    <mergeCell ref="MJ25:MK25"/>
    <mergeCell ref="HU4:HV4"/>
    <mergeCell ref="NJ3:NK3"/>
    <mergeCell ref="LW24:LX24"/>
    <mergeCell ref="NS26:NT26"/>
    <mergeCell ref="MO18:MP18"/>
    <mergeCell ref="MO26:MP26"/>
    <mergeCell ref="MO10:MP10"/>
    <mergeCell ref="KJ30:KK30"/>
    <mergeCell ref="KW4:KX4"/>
    <mergeCell ref="KB17:KC17"/>
    <mergeCell ref="EO18:EP18"/>
    <mergeCell ref="FJ4:FK4"/>
    <mergeCell ref="HZ5:IA5"/>
    <mergeCell ref="JK4:JL4"/>
    <mergeCell ref="DO12:DP12"/>
    <mergeCell ref="EZ1:FA2"/>
    <mergeCell ref="OB4:OC4"/>
    <mergeCell ref="NF27:NG27"/>
    <mergeCell ref="HO1:HP2"/>
    <mergeCell ref="KR14:KS14"/>
    <mergeCell ref="LB11:LC11"/>
    <mergeCell ref="OG8:OH8"/>
    <mergeCell ref="EU1:EV2"/>
    <mergeCell ref="JG5:JH5"/>
    <mergeCell ref="PI3:PJ3"/>
    <mergeCell ref="NF16:NG16"/>
    <mergeCell ref="KJ10:KK10"/>
    <mergeCell ref="PW28:PX28"/>
    <mergeCell ref="PF1:PF3"/>
    <mergeCell ref="BP3:BQ3"/>
    <mergeCell ref="GG1:GG3"/>
    <mergeCell ref="FW26:FX26"/>
    <mergeCell ref="EK19:EL19"/>
    <mergeCell ref="IT26:IU26"/>
    <mergeCell ref="OT8:OU8"/>
    <mergeCell ref="EW32:EX32"/>
    <mergeCell ref="CX19:CY19"/>
    <mergeCell ref="GV19:GW19"/>
    <mergeCell ref="EO19:EP19"/>
    <mergeCell ref="OY19:OZ19"/>
    <mergeCell ref="DX31:DY31"/>
    <mergeCell ref="JO32:JP32"/>
    <mergeCell ref="ID31:IE31"/>
    <mergeCell ref="HA3:HB3"/>
    <mergeCell ref="PR29:PS29"/>
    <mergeCell ref="PR21:PS21"/>
    <mergeCell ref="FB16:FC16"/>
    <mergeCell ref="MU1:MV2"/>
    <mergeCell ref="CG23:CH23"/>
    <mergeCell ref="MW23:MX23"/>
    <mergeCell ref="CG29:CH29"/>
    <mergeCell ref="MW29:MX29"/>
    <mergeCell ref="JC16:JD16"/>
    <mergeCell ref="IH29:II29"/>
    <mergeCell ref="LW15:LX15"/>
    <mergeCell ref="OT17:OU17"/>
    <mergeCell ref="QB4:QC4"/>
    <mergeCell ref="LD1:LE2"/>
    <mergeCell ref="QB30:QC30"/>
    <mergeCell ref="OK30:OL30"/>
    <mergeCell ref="MF3:MG3"/>
    <mergeCell ref="GJ10:GK10"/>
    <mergeCell ref="JZ1:KA2"/>
    <mergeCell ref="KR12:KS12"/>
    <mergeCell ref="JS21:JT21"/>
    <mergeCell ref="KN18:KO18"/>
    <mergeCell ref="PW12:PX12"/>
    <mergeCell ref="NJ28:NK28"/>
    <mergeCell ref="JC22:JD22"/>
    <mergeCell ref="LS28:LT28"/>
    <mergeCell ref="CG22:CH22"/>
    <mergeCell ref="PM3:PN3"/>
    <mergeCell ref="OP29:OQ29"/>
    <mergeCell ref="OG3:OH3"/>
    <mergeCell ref="LS9:LT9"/>
    <mergeCell ref="NO11:NP11"/>
    <mergeCell ref="OY16:OZ16"/>
    <mergeCell ref="NJ16:NK16"/>
    <mergeCell ref="DT21:DU21"/>
    <mergeCell ref="PR4:PS4"/>
    <mergeCell ref="ON1:OO2"/>
    <mergeCell ref="PR20:PS20"/>
    <mergeCell ref="QB11:QC11"/>
    <mergeCell ref="LF21:LG21"/>
    <mergeCell ref="EK10:EL10"/>
    <mergeCell ref="IY7:IZ7"/>
    <mergeCell ref="OP8:OQ8"/>
    <mergeCell ref="MF25:MG25"/>
    <mergeCell ref="M8:N8"/>
    <mergeCell ref="GV3:GW3"/>
    <mergeCell ref="GE23:GF23"/>
    <mergeCell ref="ES16:ET16"/>
    <mergeCell ref="LO9:LP9"/>
    <mergeCell ref="AD16:AE16"/>
    <mergeCell ref="QB22:QC22"/>
    <mergeCell ref="JC18:JD18"/>
    <mergeCell ref="GJ6:GK6"/>
    <mergeCell ref="EF6:EG6"/>
    <mergeCell ref="PI5:PJ5"/>
    <mergeCell ref="NX21:NY21"/>
    <mergeCell ref="EO16:EP16"/>
    <mergeCell ref="HM6:HN6"/>
    <mergeCell ref="AU9:AV9"/>
    <mergeCell ref="M11:N11"/>
    <mergeCell ref="HQ21:HR21"/>
    <mergeCell ref="FJ21:FK21"/>
    <mergeCell ref="DK23:DL23"/>
    <mergeCell ref="M9:N9"/>
    <mergeCell ref="DT11:DU11"/>
    <mergeCell ref="DO8:DP8"/>
    <mergeCell ref="DO21:DP21"/>
    <mergeCell ref="NU1:NU3"/>
    <mergeCell ref="PW21:PX21"/>
    <mergeCell ref="CG10:CH10"/>
    <mergeCell ref="MW10:MX10"/>
    <mergeCell ref="JC3:JD3"/>
    <mergeCell ref="PR22:PS22"/>
    <mergeCell ref="PD23:PE23"/>
    <mergeCell ref="QB9:QC9"/>
    <mergeCell ref="FB20:FC20"/>
    <mergeCell ref="QB12:QC12"/>
    <mergeCell ref="NO28:NP28"/>
    <mergeCell ref="MO20:MP20"/>
    <mergeCell ref="LW34:LX34"/>
    <mergeCell ref="OP34:OQ34"/>
    <mergeCell ref="KB8:KC8"/>
    <mergeCell ref="JO12:JP12"/>
    <mergeCell ref="NJ14:NK14"/>
    <mergeCell ref="NJ7:NK7"/>
    <mergeCell ref="OT27:OU27"/>
    <mergeCell ref="FS33:FT33"/>
    <mergeCell ref="NJ21:NK21"/>
    <mergeCell ref="QB34:QC34"/>
    <mergeCell ref="FW32:FX32"/>
    <mergeCell ref="MO9:MP9"/>
    <mergeCell ref="EB29:EC29"/>
    <mergeCell ref="JS29:JT29"/>
    <mergeCell ref="EB30:EC30"/>
    <mergeCell ref="QB27:QC27"/>
    <mergeCell ref="IH30:II30"/>
    <mergeCell ref="NO15:NP15"/>
    <mergeCell ref="IH27:II27"/>
    <mergeCell ref="MW20:MX20"/>
    <mergeCell ref="GE33:GF33"/>
    <mergeCell ref="QB16:QC16"/>
    <mergeCell ref="EW7:EX7"/>
    <mergeCell ref="FB25:FC25"/>
    <mergeCell ref="MF34:MG34"/>
    <mergeCell ref="PM33:PN33"/>
    <mergeCell ref="EO28:EP28"/>
    <mergeCell ref="NX25:NY25"/>
    <mergeCell ref="EW15:EX15"/>
    <mergeCell ref="QG26:QH26"/>
    <mergeCell ref="LW28:LX28"/>
    <mergeCell ref="JK32:JL32"/>
    <mergeCell ref="OB1:OC1"/>
    <mergeCell ref="GJ13:GK13"/>
    <mergeCell ref="BY22:BZ22"/>
    <mergeCell ref="PW17:PX17"/>
    <mergeCell ref="PW19:PX19"/>
    <mergeCell ref="JK16:JL16"/>
    <mergeCell ref="AD20:AE20"/>
    <mergeCell ref="LO7:LP7"/>
    <mergeCell ref="AD14:AE14"/>
    <mergeCell ref="CC1:CD1"/>
    <mergeCell ref="MO33:MP33"/>
    <mergeCell ref="ES7:ET7"/>
    <mergeCell ref="PI7:PJ7"/>
    <mergeCell ref="DX20:DY20"/>
    <mergeCell ref="AD13:AE13"/>
    <mergeCell ref="FJ19:FK19"/>
    <mergeCell ref="QB8:QC8"/>
    <mergeCell ref="NO24:NP24"/>
    <mergeCell ref="EF19:EG19"/>
    <mergeCell ref="JG20:JH20"/>
    <mergeCell ref="HU13:HV13"/>
    <mergeCell ref="LB12:LC12"/>
    <mergeCell ref="HU7:HV7"/>
    <mergeCell ref="NO26:NP26"/>
    <mergeCell ref="CC25:CD25"/>
    <mergeCell ref="BD6:BE6"/>
    <mergeCell ref="JG22:JH22"/>
    <mergeCell ref="PD33:PE33"/>
    <mergeCell ref="EF20:EG20"/>
    <mergeCell ref="A1:A3"/>
    <mergeCell ref="GJ7:GK7"/>
    <mergeCell ref="MO22:MP22"/>
    <mergeCell ref="KW31:KX31"/>
    <mergeCell ref="FW35:FX35"/>
    <mergeCell ref="DG12:DH12"/>
    <mergeCell ref="FB4:FC4"/>
    <mergeCell ref="MF1:MG1"/>
    <mergeCell ref="DC33:DD33"/>
    <mergeCell ref="PM27:PN27"/>
    <mergeCell ref="AM4:AN4"/>
    <mergeCell ref="FW7:FX7"/>
    <mergeCell ref="FW34:FX34"/>
    <mergeCell ref="FJ1:FK1"/>
    <mergeCell ref="KN3:KO3"/>
    <mergeCell ref="DG14:DH14"/>
    <mergeCell ref="HI33:HJ33"/>
    <mergeCell ref="AM12:AN12"/>
    <mergeCell ref="IP28:IQ28"/>
    <mergeCell ref="NJ33:NK33"/>
    <mergeCell ref="DG13:DH13"/>
    <mergeCell ref="DG7:DH7"/>
    <mergeCell ref="CL20:CM20"/>
    <mergeCell ref="EK25:EL25"/>
    <mergeCell ref="KN5:KO5"/>
    <mergeCell ref="OG4:OH4"/>
    <mergeCell ref="ES12:ET12"/>
    <mergeCell ref="PI12:PJ12"/>
    <mergeCell ref="HI35:HJ35"/>
    <mergeCell ref="AD12:AE12"/>
    <mergeCell ref="JS31:JT31"/>
    <mergeCell ref="KJ34:KK34"/>
    <mergeCell ref="MF35:MG35"/>
    <mergeCell ref="HM25:HN25"/>
    <mergeCell ref="OP10:OQ10"/>
    <mergeCell ref="DO14:DP14"/>
    <mergeCell ref="HQ33:HR33"/>
    <mergeCell ref="EF17:EG17"/>
    <mergeCell ref="KR22:KS22"/>
    <mergeCell ref="CX26:CY26"/>
    <mergeCell ref="OB28:OC28"/>
    <mergeCell ref="IL26:IM26"/>
    <mergeCell ref="JC29:JD29"/>
    <mergeCell ref="KN35:KO35"/>
    <mergeCell ref="NJ35:NK35"/>
    <mergeCell ref="DG15:DH15"/>
    <mergeCell ref="GR10:GS10"/>
    <mergeCell ref="GN21:GO21"/>
    <mergeCell ref="EO23:EP23"/>
    <mergeCell ref="MB18:MC18"/>
    <mergeCell ref="KR35:KS35"/>
    <mergeCell ref="JG35:JH35"/>
    <mergeCell ref="OK34:OL34"/>
    <mergeCell ref="FS35:FT35"/>
    <mergeCell ref="EB28:EC28"/>
    <mergeCell ref="GV27:GW27"/>
    <mergeCell ref="LF29:LG29"/>
    <mergeCell ref="OB31:OC31"/>
    <mergeCell ref="LS35:LT35"/>
    <mergeCell ref="EF25:EG25"/>
    <mergeCell ref="OG35:OH35"/>
    <mergeCell ref="DO27:DP27"/>
    <mergeCell ref="KJ26:KK26"/>
    <mergeCell ref="NF34:NG34"/>
    <mergeCell ref="H1:I1"/>
    <mergeCell ref="FS26:FT26"/>
    <mergeCell ref="FS9:FT9"/>
    <mergeCell ref="MW6:MX6"/>
    <mergeCell ref="JG4:JH4"/>
    <mergeCell ref="LJ27:LK27"/>
    <mergeCell ref="DG5:DH5"/>
    <mergeCell ref="GJ21:GK21"/>
    <mergeCell ref="EK23:EL23"/>
    <mergeCell ref="H14:I14"/>
    <mergeCell ref="CL34:CM34"/>
    <mergeCell ref="CL9:CM9"/>
    <mergeCell ref="AM30:AN30"/>
    <mergeCell ref="FF8:FG8"/>
    <mergeCell ref="H19:I19"/>
    <mergeCell ref="Z5:AA5"/>
    <mergeCell ref="H12:I12"/>
    <mergeCell ref="BL3:BM3"/>
    <mergeCell ref="MB3:MC3"/>
    <mergeCell ref="JO19:JP19"/>
    <mergeCell ref="BU26:BV26"/>
    <mergeCell ref="GR3:GS3"/>
    <mergeCell ref="GA23:GB23"/>
    <mergeCell ref="IY34:IZ34"/>
    <mergeCell ref="CG24:CH24"/>
    <mergeCell ref="EK15:EL15"/>
    <mergeCell ref="IP13:IQ13"/>
    <mergeCell ref="AM22:AN22"/>
    <mergeCell ref="JK3:JL3"/>
    <mergeCell ref="AD1:AE1"/>
    <mergeCell ref="Q27:R27"/>
    <mergeCell ref="AK1:AL2"/>
    <mergeCell ref="JG33:JH33"/>
    <mergeCell ref="LB25:LC25"/>
    <mergeCell ref="ES29:ET29"/>
    <mergeCell ref="NX5:NY5"/>
    <mergeCell ref="CL29:CM29"/>
    <mergeCell ref="FF3:FG3"/>
    <mergeCell ref="DC16:DD16"/>
    <mergeCell ref="BL5:BM5"/>
    <mergeCell ref="ES31:ET31"/>
    <mergeCell ref="CC8:CD8"/>
    <mergeCell ref="DG24:DH24"/>
    <mergeCell ref="MB32:MC32"/>
    <mergeCell ref="NF9:NG9"/>
    <mergeCell ref="HE19:HF19"/>
    <mergeCell ref="MF31:MG31"/>
    <mergeCell ref="GR29:GS29"/>
    <mergeCell ref="NX3:NY3"/>
    <mergeCell ref="NX23:NY23"/>
    <mergeCell ref="BR1:BR3"/>
    <mergeCell ref="CA1:CB2"/>
    <mergeCell ref="DC25:DD25"/>
    <mergeCell ref="JS30:JT30"/>
    <mergeCell ref="DT27:DU27"/>
    <mergeCell ref="LF23:LG23"/>
    <mergeCell ref="FW8:FX8"/>
    <mergeCell ref="KR26:KS26"/>
    <mergeCell ref="CC12:CD12"/>
    <mergeCell ref="CG20:CH20"/>
    <mergeCell ref="CC14:CD14"/>
    <mergeCell ref="DR1:DS2"/>
    <mergeCell ref="BP11:BQ11"/>
    <mergeCell ref="DK27:DL27"/>
    <mergeCell ref="AQ29:AR29"/>
    <mergeCell ref="AQ31:AR31"/>
    <mergeCell ref="BD5:BE5"/>
    <mergeCell ref="NB32:NC32"/>
    <mergeCell ref="DK32:DL32"/>
    <mergeCell ref="FF28:FG28"/>
    <mergeCell ref="HI26:HJ26"/>
    <mergeCell ref="AH7:AI7"/>
    <mergeCell ref="IT4:IU4"/>
    <mergeCell ref="BD18:BE18"/>
    <mergeCell ref="OG29:OH29"/>
    <mergeCell ref="HZ11:IA11"/>
    <mergeCell ref="HE24:HF24"/>
    <mergeCell ref="FS11:FT11"/>
    <mergeCell ref="IP30:IQ30"/>
    <mergeCell ref="BD17:BE17"/>
    <mergeCell ref="MO4:MP4"/>
    <mergeCell ref="EK16:EL16"/>
    <mergeCell ref="BD7:BE7"/>
    <mergeCell ref="BH21:BI21"/>
    <mergeCell ref="BD22:BE22"/>
    <mergeCell ref="BY13:BZ13"/>
    <mergeCell ref="BP26:BQ26"/>
    <mergeCell ref="AQ28:AR28"/>
    <mergeCell ref="CC13:CD13"/>
    <mergeCell ref="BH20:BI20"/>
    <mergeCell ref="BY27:BZ27"/>
    <mergeCell ref="BH9:BI9"/>
    <mergeCell ref="BH4:BI4"/>
    <mergeCell ref="CG18:CH18"/>
    <mergeCell ref="BH27:BI27"/>
    <mergeCell ref="AU24:AV24"/>
    <mergeCell ref="OY34:OZ34"/>
    <mergeCell ref="NS3:NT3"/>
    <mergeCell ref="CG11:CH11"/>
    <mergeCell ref="JC4:JD4"/>
    <mergeCell ref="IR1:IS2"/>
    <mergeCell ref="AO1:AP2"/>
    <mergeCell ref="JS1:JT1"/>
    <mergeCell ref="JM1:JN2"/>
    <mergeCell ref="AH6:AI6"/>
    <mergeCell ref="BD4:BE4"/>
    <mergeCell ref="CV1:CW2"/>
    <mergeCell ref="KF6:KG6"/>
    <mergeCell ref="HA11:HB11"/>
    <mergeCell ref="GN5:GO5"/>
    <mergeCell ref="AU11:AV11"/>
    <mergeCell ref="FN8:FO8"/>
    <mergeCell ref="AH14:AI14"/>
    <mergeCell ref="FL1:FM2"/>
    <mergeCell ref="LJ11:LK11"/>
    <mergeCell ref="FS34:FT34"/>
    <mergeCell ref="AW1:AX2"/>
    <mergeCell ref="LM1:LN2"/>
    <mergeCell ref="BH34:BI34"/>
    <mergeCell ref="CC31:CD31"/>
    <mergeCell ref="ID29:IE29"/>
    <mergeCell ref="EW24:EX24"/>
    <mergeCell ref="ES33:ET33"/>
    <mergeCell ref="BP4:BQ4"/>
    <mergeCell ref="HQ8:HR8"/>
    <mergeCell ref="AH32:AI32"/>
    <mergeCell ref="BP16:BQ16"/>
    <mergeCell ref="MF16:MG16"/>
    <mergeCell ref="NF35:NG35"/>
    <mergeCell ref="IP26:IQ26"/>
    <mergeCell ref="JG29:JH29"/>
    <mergeCell ref="AM14:AN14"/>
    <mergeCell ref="MS21:MT21"/>
    <mergeCell ref="HI24:HJ24"/>
    <mergeCell ref="FB24:FC24"/>
    <mergeCell ref="HZ17:IA17"/>
    <mergeCell ref="GA19:GB19"/>
    <mergeCell ref="DT19:DU19"/>
    <mergeCell ref="OY23:OZ23"/>
    <mergeCell ref="NJ15:NK15"/>
    <mergeCell ref="LS6:LT6"/>
    <mergeCell ref="IY16:IZ16"/>
    <mergeCell ref="LS17:LT17"/>
    <mergeCell ref="HG1:HH2"/>
    <mergeCell ref="V30:W30"/>
    <mergeCell ref="AD18:AE18"/>
    <mergeCell ref="MW5:MX5"/>
    <mergeCell ref="MF14:MG14"/>
    <mergeCell ref="HQ20:HR20"/>
    <mergeCell ref="HQ14:HR14"/>
    <mergeCell ref="GE7:GF7"/>
    <mergeCell ref="FJ20:FK20"/>
    <mergeCell ref="AM8:AN8"/>
    <mergeCell ref="FN7:FO7"/>
    <mergeCell ref="AH4:AI4"/>
    <mergeCell ref="FJ3:FK3"/>
    <mergeCell ref="MJ24:MK24"/>
    <mergeCell ref="BY20:BZ20"/>
    <mergeCell ref="BU21:BV21"/>
    <mergeCell ref="CC6:CD6"/>
    <mergeCell ref="OK17:OL17"/>
    <mergeCell ref="QG19:QH19"/>
    <mergeCell ref="NX18:NY18"/>
    <mergeCell ref="DK3:DL3"/>
    <mergeCell ref="IH9:II9"/>
    <mergeCell ref="HM16:HN16"/>
    <mergeCell ref="GA9:GB9"/>
    <mergeCell ref="DO5:DP5"/>
    <mergeCell ref="BL18:BM18"/>
    <mergeCell ref="PR23:PS23"/>
    <mergeCell ref="QG6:QH6"/>
    <mergeCell ref="K1:L2"/>
    <mergeCell ref="AH16:AI16"/>
    <mergeCell ref="FB30:FC30"/>
    <mergeCell ref="PR30:PS30"/>
    <mergeCell ref="KB19:KC19"/>
    <mergeCell ref="AQ27:AR27"/>
    <mergeCell ref="HI13:HJ13"/>
    <mergeCell ref="BP10:BQ10"/>
    <mergeCell ref="CX5:CY5"/>
    <mergeCell ref="CP21:CQ21"/>
    <mergeCell ref="NF21:NG21"/>
    <mergeCell ref="CG12:CH12"/>
    <mergeCell ref="NB17:NC17"/>
    <mergeCell ref="BD21:BE21"/>
    <mergeCell ref="JC5:JD5"/>
    <mergeCell ref="ES9:ET9"/>
    <mergeCell ref="GV5:GW5"/>
    <mergeCell ref="LW6:LX6"/>
    <mergeCell ref="CP11:CQ11"/>
    <mergeCell ref="NF11:NG11"/>
    <mergeCell ref="BU24:BV24"/>
    <mergeCell ref="OY24:OZ24"/>
    <mergeCell ref="KN16:KO16"/>
    <mergeCell ref="MW19:MX19"/>
    <mergeCell ref="AD3:AE3"/>
    <mergeCell ref="DO1:DP1"/>
    <mergeCell ref="MS8:MT8"/>
    <mergeCell ref="DC13:DD13"/>
    <mergeCell ref="DC7:DD7"/>
    <mergeCell ref="KJ5:KK5"/>
    <mergeCell ref="OK13:OL13"/>
    <mergeCell ref="OI1:OJ2"/>
    <mergeCell ref="NO3:NP3"/>
    <mergeCell ref="AQ20:AR20"/>
    <mergeCell ref="BH7:BI7"/>
    <mergeCell ref="AH5:AI5"/>
    <mergeCell ref="AY8:AZ8"/>
    <mergeCell ref="QG17:QH17"/>
    <mergeCell ref="HM21:HN21"/>
    <mergeCell ref="NX16:NY16"/>
    <mergeCell ref="GV11:GW11"/>
    <mergeCell ref="GA24:GB24"/>
    <mergeCell ref="GY1:GZ2"/>
    <mergeCell ref="EO11:EP11"/>
    <mergeCell ref="GA18:GB18"/>
    <mergeCell ref="HK1:HL2"/>
    <mergeCell ref="FD1:FE2"/>
    <mergeCell ref="BL16:BM16"/>
    <mergeCell ref="MB16:MC16"/>
    <mergeCell ref="QG18:QH18"/>
    <mergeCell ref="PW1:PX1"/>
    <mergeCell ref="JV1:JW2"/>
    <mergeCell ref="HI10:HJ10"/>
    <mergeCell ref="EB6:EC6"/>
    <mergeCell ref="MS19:MT19"/>
    <mergeCell ref="DC24:DD24"/>
    <mergeCell ref="BH5:BI5"/>
    <mergeCell ref="AY23:AZ23"/>
    <mergeCell ref="FF1:FG1"/>
    <mergeCell ref="AJ1:AJ3"/>
    <mergeCell ref="AH3:AI3"/>
    <mergeCell ref="AY17:AZ17"/>
    <mergeCell ref="Z3:AA3"/>
    <mergeCell ref="AU22:AV22"/>
    <mergeCell ref="AU4:AV4"/>
    <mergeCell ref="DT20:DU20"/>
    <mergeCell ref="JS9:JT9"/>
    <mergeCell ref="Z13:AA13"/>
    <mergeCell ref="AM18:AN18"/>
    <mergeCell ref="AM17:AN17"/>
    <mergeCell ref="IT8:IU8"/>
    <mergeCell ref="GN16:GO16"/>
    <mergeCell ref="FJ7:FK7"/>
    <mergeCell ref="Z18:AA18"/>
    <mergeCell ref="Z17:AA17"/>
    <mergeCell ref="BD3:BE3"/>
    <mergeCell ref="AY1:AZ1"/>
    <mergeCell ref="BL11:BM11"/>
    <mergeCell ref="Z6:AA6"/>
    <mergeCell ref="BB1:BC2"/>
    <mergeCell ref="AY18:AZ18"/>
    <mergeCell ref="AY3:AZ3"/>
    <mergeCell ref="BP19:BQ19"/>
    <mergeCell ref="BP17:BQ17"/>
    <mergeCell ref="IP6:IQ6"/>
    <mergeCell ref="JI1:JJ2"/>
    <mergeCell ref="IY18:IZ18"/>
    <mergeCell ref="KR4:KS4"/>
    <mergeCell ref="NX1:NY1"/>
    <mergeCell ref="LJ9:LK9"/>
    <mergeCell ref="PD13:PE13"/>
    <mergeCell ref="D31:E31"/>
    <mergeCell ref="DC14:DD14"/>
    <mergeCell ref="FW15:FX15"/>
    <mergeCell ref="LS19:LT19"/>
    <mergeCell ref="M24:N24"/>
    <mergeCell ref="KR3:KS3"/>
    <mergeCell ref="CT25:CU25"/>
    <mergeCell ref="HQ22:HR22"/>
    <mergeCell ref="OT25:OU25"/>
    <mergeCell ref="AD4:AE4"/>
    <mergeCell ref="CG27:CH27"/>
    <mergeCell ref="JX7:JY7"/>
    <mergeCell ref="AH12:AI12"/>
    <mergeCell ref="HQ13:HR13"/>
    <mergeCell ref="JC20:JD20"/>
    <mergeCell ref="V3:W3"/>
    <mergeCell ref="MW11:MX11"/>
    <mergeCell ref="AH25:AI25"/>
    <mergeCell ref="OP6:OQ6"/>
    <mergeCell ref="NX14:NY14"/>
    <mergeCell ref="GA22:GB22"/>
    <mergeCell ref="DT22:DU22"/>
    <mergeCell ref="Z15:AA15"/>
    <mergeCell ref="D27:E27"/>
    <mergeCell ref="Z31:AA31"/>
    <mergeCell ref="GE14:GF14"/>
    <mergeCell ref="AD33:AE33"/>
    <mergeCell ref="PD12:PE12"/>
    <mergeCell ref="BY25:BZ25"/>
    <mergeCell ref="KF34:KG34"/>
    <mergeCell ref="Z25:AA25"/>
    <mergeCell ref="KW21:KX21"/>
    <mergeCell ref="BY12:BZ12"/>
    <mergeCell ref="MS23:MT23"/>
    <mergeCell ref="EW22:EX22"/>
    <mergeCell ref="Q34:R34"/>
    <mergeCell ref="M28:N28"/>
    <mergeCell ref="Z4:AA4"/>
    <mergeCell ref="Z26:AA26"/>
    <mergeCell ref="AD31:AE31"/>
    <mergeCell ref="V5:W5"/>
    <mergeCell ref="BH3:BI3"/>
    <mergeCell ref="GR27:GS27"/>
    <mergeCell ref="EY1:EY3"/>
    <mergeCell ref="AH1:AI1"/>
    <mergeCell ref="IY22:IZ22"/>
    <mergeCell ref="LO28:LP28"/>
    <mergeCell ref="KR8:KS8"/>
    <mergeCell ref="CX15:CY15"/>
    <mergeCell ref="NX20:NY20"/>
    <mergeCell ref="MO21:MP21"/>
    <mergeCell ref="FJ26:FK26"/>
    <mergeCell ref="DX19:DY19"/>
    <mergeCell ref="DC12:DD12"/>
    <mergeCell ref="AQ23:AR23"/>
    <mergeCell ref="AQ24:AR24"/>
    <mergeCell ref="MF18:MG18"/>
    <mergeCell ref="ID26:IE26"/>
    <mergeCell ref="ML1:ML3"/>
    <mergeCell ref="NJ27:NK27"/>
    <mergeCell ref="BH16:BI16"/>
    <mergeCell ref="MO8:MP8"/>
    <mergeCell ref="LW16:LX16"/>
    <mergeCell ref="MS10:MT10"/>
    <mergeCell ref="NJ34:NK34"/>
    <mergeCell ref="DZ1:EA2"/>
    <mergeCell ref="CT34:CU34"/>
    <mergeCell ref="EO33:EP33"/>
    <mergeCell ref="LS13:LT13"/>
    <mergeCell ref="AQ22:AR22"/>
    <mergeCell ref="EO31:EP31"/>
    <mergeCell ref="HI32:HJ32"/>
    <mergeCell ref="IL18:IM18"/>
    <mergeCell ref="HQ31:HR31"/>
    <mergeCell ref="KN33:KO33"/>
    <mergeCell ref="LJ13:LK13"/>
    <mergeCell ref="KR21:KS21"/>
    <mergeCell ref="KR33:KS33"/>
    <mergeCell ref="HE12:HF12"/>
    <mergeCell ref="CL17:CM17"/>
    <mergeCell ref="LW32:LX32"/>
    <mergeCell ref="BP31:BQ31"/>
    <mergeCell ref="MB1:MC1"/>
    <mergeCell ref="LH1:LI2"/>
    <mergeCell ref="KT1:KT3"/>
    <mergeCell ref="FB1:FC1"/>
    <mergeCell ref="KP1:KQ2"/>
    <mergeCell ref="DX1:DY1"/>
    <mergeCell ref="HX1:HY2"/>
    <mergeCell ref="ID1:IE1"/>
    <mergeCell ref="BP35:BQ35"/>
    <mergeCell ref="JC33:JD33"/>
    <mergeCell ref="DC22:DD22"/>
    <mergeCell ref="GJ23:GK23"/>
    <mergeCell ref="LW33:LX33"/>
    <mergeCell ref="FN33:FO33"/>
    <mergeCell ref="LB22:LC22"/>
    <mergeCell ref="CT18:CU18"/>
    <mergeCell ref="HU19:HV19"/>
    <mergeCell ref="FN11:FO11"/>
    <mergeCell ref="ES24:ET24"/>
    <mergeCell ref="AQ11:AR11"/>
    <mergeCell ref="GV26:GW26"/>
    <mergeCell ref="JS28:JT28"/>
    <mergeCell ref="AU19:AV19"/>
    <mergeCell ref="CC23:CD23"/>
    <mergeCell ref="LS27:LT27"/>
    <mergeCell ref="EO20:EP20"/>
    <mergeCell ref="HZ24:IA24"/>
    <mergeCell ref="FF16:FG16"/>
    <mergeCell ref="FF20:FG20"/>
    <mergeCell ref="EB19:EC19"/>
    <mergeCell ref="DG26:DH26"/>
    <mergeCell ref="CX13:CY13"/>
    <mergeCell ref="KJ16:KK16"/>
    <mergeCell ref="JO29:JP29"/>
    <mergeCell ref="KW17:KX17"/>
    <mergeCell ref="KF27:KG27"/>
    <mergeCell ref="KJ25:KK25"/>
    <mergeCell ref="FJ25:FK25"/>
    <mergeCell ref="CP35:CQ35"/>
    <mergeCell ref="CX34:CY34"/>
    <mergeCell ref="V34:W34"/>
    <mergeCell ref="V28:W28"/>
    <mergeCell ref="DG16:DH16"/>
    <mergeCell ref="GV8:GW8"/>
    <mergeCell ref="Q26:R26"/>
    <mergeCell ref="LS4:LT4"/>
    <mergeCell ref="JG32:JH32"/>
    <mergeCell ref="BU8:BV8"/>
    <mergeCell ref="JX24:JY24"/>
    <mergeCell ref="AH29:AI29"/>
    <mergeCell ref="JC35:JD35"/>
    <mergeCell ref="BY1:BZ1"/>
    <mergeCell ref="HA19:HB19"/>
    <mergeCell ref="HI6:HJ6"/>
    <mergeCell ref="GA35:GB35"/>
    <mergeCell ref="KR32:KS32"/>
    <mergeCell ref="GE6:GF6"/>
    <mergeCell ref="BY21:BZ21"/>
    <mergeCell ref="IY3:IZ3"/>
    <mergeCell ref="DX4:DY4"/>
    <mergeCell ref="DK7:DL7"/>
    <mergeCell ref="IL8:IM8"/>
    <mergeCell ref="CX35:CY35"/>
    <mergeCell ref="BP20:BQ20"/>
    <mergeCell ref="BH18:BI18"/>
    <mergeCell ref="HU32:HV32"/>
    <mergeCell ref="AD32:AE32"/>
    <mergeCell ref="EO35:EP35"/>
    <mergeCell ref="BL35:BM35"/>
    <mergeCell ref="BP24:BQ24"/>
    <mergeCell ref="HM5:HN5"/>
    <mergeCell ref="FF5:FG5"/>
    <mergeCell ref="QG15:QH15"/>
    <mergeCell ref="GR26:GS26"/>
    <mergeCell ref="EK26:EL26"/>
    <mergeCell ref="PI11:PJ11"/>
    <mergeCell ref="CL11:CM11"/>
    <mergeCell ref="NB11:NC11"/>
    <mergeCell ref="CP6:CQ6"/>
    <mergeCell ref="IT13:IU13"/>
    <mergeCell ref="IT7:IU7"/>
    <mergeCell ref="OY22:OZ22"/>
    <mergeCell ref="FW24:FX24"/>
    <mergeCell ref="DX26:DY26"/>
    <mergeCell ref="JK19:JL19"/>
    <mergeCell ref="MS17:MT17"/>
    <mergeCell ref="EO29:EP29"/>
    <mergeCell ref="OK8:OL8"/>
    <mergeCell ref="QB26:QC26"/>
    <mergeCell ref="MB25:MC25"/>
    <mergeCell ref="DK12:DL12"/>
    <mergeCell ref="MW17:MX17"/>
    <mergeCell ref="QG25:QH25"/>
    <mergeCell ref="KN22:KO22"/>
    <mergeCell ref="FN16:FO16"/>
    <mergeCell ref="IL6:IM6"/>
    <mergeCell ref="MJ9:MK9"/>
    <mergeCell ref="QB6:QC6"/>
    <mergeCell ref="MF29:MG29"/>
    <mergeCell ref="HU12:HV12"/>
    <mergeCell ref="PD7:PE7"/>
    <mergeCell ref="GJ11:GK11"/>
    <mergeCell ref="NS12:NT12"/>
    <mergeCell ref="QB14:QC14"/>
    <mergeCell ref="PZ1:QA2"/>
    <mergeCell ref="EB1:EC1"/>
    <mergeCell ref="HZ4:IA4"/>
    <mergeCell ref="V16:W16"/>
    <mergeCell ref="PW10:PX10"/>
    <mergeCell ref="HE17:HF17"/>
    <mergeCell ref="IT25:IU25"/>
    <mergeCell ref="GR9:GS9"/>
    <mergeCell ref="NJ26:NK26"/>
    <mergeCell ref="CP17:CQ17"/>
    <mergeCell ref="PU1:PV2"/>
    <mergeCell ref="CG9:CH9"/>
    <mergeCell ref="IL24:IM24"/>
    <mergeCell ref="PW11:PX11"/>
    <mergeCell ref="NS5:NT5"/>
    <mergeCell ref="CX16:CY16"/>
    <mergeCell ref="LW5:LX5"/>
    <mergeCell ref="HA15:HB15"/>
    <mergeCell ref="V4:W4"/>
    <mergeCell ref="PP1:PQ2"/>
    <mergeCell ref="PD14:PE14"/>
    <mergeCell ref="LJ7:LK7"/>
    <mergeCell ref="GJ25:GK25"/>
    <mergeCell ref="AQ26:AR26"/>
    <mergeCell ref="KB6:KC6"/>
    <mergeCell ref="HU6:HV6"/>
    <mergeCell ref="MJ26:MK26"/>
    <mergeCell ref="HQ6:HR6"/>
    <mergeCell ref="AY19:AZ19"/>
    <mergeCell ref="KN4:KO4"/>
    <mergeCell ref="LO19:LP19"/>
    <mergeCell ref="AD26:AE26"/>
    <mergeCell ref="PW8:PX8"/>
    <mergeCell ref="NJ24:NK24"/>
    <mergeCell ref="FF11:FG11"/>
    <mergeCell ref="DT4:DU4"/>
    <mergeCell ref="EO32:EP32"/>
    <mergeCell ref="KW12:KX12"/>
    <mergeCell ref="AQ9:AR9"/>
    <mergeCell ref="LO17:LP17"/>
    <mergeCell ref="EK7:EL7"/>
    <mergeCell ref="JX6:JY6"/>
    <mergeCell ref="CT6:CU6"/>
    <mergeCell ref="BY5:BZ5"/>
    <mergeCell ref="CC4:CD4"/>
    <mergeCell ref="PM28:PN28"/>
    <mergeCell ref="PR12:PS12"/>
    <mergeCell ref="JS15:JT15"/>
    <mergeCell ref="AU6:AV6"/>
    <mergeCell ref="AU17:AV17"/>
    <mergeCell ref="NJ32:NK32"/>
    <mergeCell ref="EK9:EL9"/>
    <mergeCell ref="AY6:AZ6"/>
    <mergeCell ref="LO6:LP6"/>
    <mergeCell ref="HI21:HJ21"/>
    <mergeCell ref="PM22:PN22"/>
    <mergeCell ref="BY8:BZ8"/>
    <mergeCell ref="AU7:AV7"/>
    <mergeCell ref="MO23:MP23"/>
    <mergeCell ref="BD30:BE30"/>
    <mergeCell ref="ES22:ET22"/>
    <mergeCell ref="HZ23:IA23"/>
    <mergeCell ref="LS15:LT15"/>
    <mergeCell ref="CC20:CD20"/>
    <mergeCell ref="D11:E11"/>
    <mergeCell ref="IT3:IU3"/>
    <mergeCell ref="NS21:NT21"/>
    <mergeCell ref="KW1:KX1"/>
    <mergeCell ref="FB8:FC8"/>
    <mergeCell ref="IP1:IQ1"/>
    <mergeCell ref="DO29:DP29"/>
    <mergeCell ref="LF9:LG9"/>
    <mergeCell ref="IT5:IU5"/>
    <mergeCell ref="NS23:NT23"/>
    <mergeCell ref="OG30:OH30"/>
    <mergeCell ref="FS13:FT13"/>
    <mergeCell ref="AM10:AN10"/>
    <mergeCell ref="LF11:LG11"/>
    <mergeCell ref="AS1:AT2"/>
    <mergeCell ref="FB3:FC3"/>
    <mergeCell ref="V17:W17"/>
    <mergeCell ref="O1:P2"/>
    <mergeCell ref="M6:N6"/>
    <mergeCell ref="KF7:KG7"/>
    <mergeCell ref="IL28:IM28"/>
    <mergeCell ref="MS6:MT6"/>
    <mergeCell ref="LF27:LG27"/>
    <mergeCell ref="GJ12:GK12"/>
    <mergeCell ref="KR1:KS1"/>
    <mergeCell ref="GN3:GO3"/>
    <mergeCell ref="FS10:FT10"/>
    <mergeCell ref="LW17:LX17"/>
    <mergeCell ref="CP15:CQ15"/>
    <mergeCell ref="NF15:NG15"/>
    <mergeCell ref="KF26:KG26"/>
    <mergeCell ref="BH15:BI15"/>
    <mergeCell ref="OT33:OU33"/>
    <mergeCell ref="IH24:II24"/>
    <mergeCell ref="KW25:KX25"/>
    <mergeCell ref="NS8:NT8"/>
    <mergeCell ref="ID9:IE9"/>
    <mergeCell ref="EB17:EC17"/>
    <mergeCell ref="IT16:IU16"/>
    <mergeCell ref="HE8:HF8"/>
    <mergeCell ref="GN28:GO28"/>
    <mergeCell ref="FB21:FC21"/>
    <mergeCell ref="EB13:EC13"/>
    <mergeCell ref="OG17:OH17"/>
    <mergeCell ref="KR16:KS16"/>
    <mergeCell ref="NF26:NG26"/>
    <mergeCell ref="GN9:GO9"/>
    <mergeCell ref="KJ33:KK33"/>
    <mergeCell ref="KF20:KG20"/>
    <mergeCell ref="GA33:GB33"/>
    <mergeCell ref="NB29:NC29"/>
    <mergeCell ref="LO25:LP25"/>
    <mergeCell ref="LO21:LP21"/>
    <mergeCell ref="JO18:JP18"/>
    <mergeCell ref="JX8:JY8"/>
    <mergeCell ref="HZ29:IA29"/>
    <mergeCell ref="EW31:EX31"/>
    <mergeCell ref="GR30:GS30"/>
    <mergeCell ref="GE32:GF32"/>
    <mergeCell ref="KN29:KO29"/>
    <mergeCell ref="HM8:HN8"/>
    <mergeCell ref="GA25:GB25"/>
    <mergeCell ref="IT31:IU31"/>
    <mergeCell ref="OG33:OH33"/>
    <mergeCell ref="NF33:NG33"/>
    <mergeCell ref="JO30:JP30"/>
    <mergeCell ref="DX28:DY28"/>
    <mergeCell ref="HM20:HN20"/>
    <mergeCell ref="EK27:EL27"/>
    <mergeCell ref="ID30:IE30"/>
    <mergeCell ref="Z32:AA32"/>
    <mergeCell ref="JK23:JL23"/>
    <mergeCell ref="HZ28:IA28"/>
    <mergeCell ref="IP7:IQ7"/>
    <mergeCell ref="IY30:IZ30"/>
    <mergeCell ref="FS24:FT24"/>
    <mergeCell ref="DT26:DU26"/>
    <mergeCell ref="MO17:MP17"/>
    <mergeCell ref="MJ8:MK8"/>
    <mergeCell ref="OP7:OQ7"/>
    <mergeCell ref="MS9:MT9"/>
    <mergeCell ref="HE14:HF14"/>
    <mergeCell ref="LW20:LX20"/>
    <mergeCell ref="EF27:EG27"/>
    <mergeCell ref="DO9:DP9"/>
    <mergeCell ref="DK31:DL31"/>
    <mergeCell ref="AQ21:AR21"/>
    <mergeCell ref="NO31:NP31"/>
    <mergeCell ref="NS29:NT29"/>
    <mergeCell ref="FF9:FG9"/>
    <mergeCell ref="HM31:HN31"/>
    <mergeCell ref="EF32:EG32"/>
    <mergeCell ref="LO15:LP15"/>
    <mergeCell ref="EW28:EX28"/>
    <mergeCell ref="Z33:AA33"/>
    <mergeCell ref="IH25:II25"/>
    <mergeCell ref="CT33:CU33"/>
    <mergeCell ref="FB12:FC12"/>
    <mergeCell ref="KB35:KC35"/>
    <mergeCell ref="EK35:EL35"/>
    <mergeCell ref="HM35:HN35"/>
    <mergeCell ref="IY35:IZ35"/>
    <mergeCell ref="HE6:HF6"/>
    <mergeCell ref="GN26:GO26"/>
    <mergeCell ref="FB19:FC19"/>
    <mergeCell ref="JK31:JL31"/>
    <mergeCell ref="EW29:EX29"/>
    <mergeCell ref="BU14:BV14"/>
    <mergeCell ref="CG7:CH7"/>
    <mergeCell ref="CC11:CD11"/>
    <mergeCell ref="GA32:GB32"/>
    <mergeCell ref="CP27:CQ27"/>
    <mergeCell ref="BY9:BZ9"/>
    <mergeCell ref="CG6:CH6"/>
    <mergeCell ref="CP32:CQ32"/>
    <mergeCell ref="FS31:FT31"/>
    <mergeCell ref="EF15:EG15"/>
    <mergeCell ref="GA30:GB30"/>
    <mergeCell ref="EB33:EC33"/>
    <mergeCell ref="BU33:BV33"/>
    <mergeCell ref="CL35:CM35"/>
    <mergeCell ref="CC22:CD22"/>
    <mergeCell ref="FJ27:FK27"/>
    <mergeCell ref="JO20:JP20"/>
    <mergeCell ref="CC10:CD10"/>
    <mergeCell ref="FJ11:FK11"/>
    <mergeCell ref="FN17:FO17"/>
    <mergeCell ref="HQ12:HR12"/>
    <mergeCell ref="V35:W35"/>
    <mergeCell ref="CT26:CU26"/>
    <mergeCell ref="FJ34:FK34"/>
    <mergeCell ref="IH19:II19"/>
    <mergeCell ref="HE16:HF16"/>
    <mergeCell ref="KB9:KC9"/>
    <mergeCell ref="DK30:DL30"/>
    <mergeCell ref="CT27:CU27"/>
    <mergeCell ref="V33:W33"/>
    <mergeCell ref="DC32:DD32"/>
    <mergeCell ref="BD34:BE34"/>
    <mergeCell ref="HI18:HJ18"/>
    <mergeCell ref="ES20:ET20"/>
    <mergeCell ref="GR11:GS11"/>
    <mergeCell ref="CP19:CQ19"/>
    <mergeCell ref="HA26:HB26"/>
    <mergeCell ref="BP33:BQ33"/>
    <mergeCell ref="JK33:JL33"/>
    <mergeCell ref="BY23:BZ23"/>
    <mergeCell ref="HU11:HV11"/>
    <mergeCell ref="BP15:BQ15"/>
    <mergeCell ref="HA24:HB24"/>
    <mergeCell ref="CT35:CU35"/>
    <mergeCell ref="JS17:JT17"/>
    <mergeCell ref="BD16:BE16"/>
    <mergeCell ref="BU25:BV25"/>
    <mergeCell ref="BL26:BM26"/>
    <mergeCell ref="JG12:JH12"/>
    <mergeCell ref="GA15:GB15"/>
    <mergeCell ref="BH35:BI35"/>
    <mergeCell ref="GA13:GB13"/>
    <mergeCell ref="AU10:AV10"/>
    <mergeCell ref="D8:E8"/>
    <mergeCell ref="Z35:AA35"/>
    <mergeCell ref="IY15:IZ15"/>
    <mergeCell ref="NX33:NY33"/>
    <mergeCell ref="AM6:AN6"/>
    <mergeCell ref="GV28:GW28"/>
    <mergeCell ref="LO30:LP30"/>
    <mergeCell ref="AU21:AV21"/>
    <mergeCell ref="DO20:DP20"/>
    <mergeCell ref="NO12:NP12"/>
    <mergeCell ref="BL33:BM33"/>
    <mergeCell ref="MB33:MC33"/>
    <mergeCell ref="GV30:GW30"/>
    <mergeCell ref="HM33:HN33"/>
    <mergeCell ref="Q13:R13"/>
    <mergeCell ref="CG30:CH30"/>
    <mergeCell ref="Q7:R7"/>
    <mergeCell ref="AD25:AE25"/>
    <mergeCell ref="AH20:AI20"/>
    <mergeCell ref="CL6:CM6"/>
    <mergeCell ref="Q6:R6"/>
    <mergeCell ref="CT16:CU16"/>
    <mergeCell ref="BY29:BZ29"/>
    <mergeCell ref="Q16:R16"/>
    <mergeCell ref="Q24:R24"/>
    <mergeCell ref="Q18:R18"/>
    <mergeCell ref="EK31:EL31"/>
    <mergeCell ref="CP13:CQ13"/>
    <mergeCell ref="FN35:FO35"/>
    <mergeCell ref="IH15:II15"/>
    <mergeCell ref="FW33:FX33"/>
    <mergeCell ref="CP34:CQ34"/>
    <mergeCell ref="PR1:PS1"/>
    <mergeCell ref="AU23:AV23"/>
    <mergeCell ref="DO22:DP22"/>
    <mergeCell ref="OT31:OU31"/>
    <mergeCell ref="IH28:II28"/>
    <mergeCell ref="MO6:MP6"/>
    <mergeCell ref="KB22:KC22"/>
    <mergeCell ref="IP15:IQ15"/>
    <mergeCell ref="EW12:EX12"/>
    <mergeCell ref="KR5:KS5"/>
    <mergeCell ref="BL28:BM28"/>
    <mergeCell ref="FS6:FT6"/>
    <mergeCell ref="CX33:CY33"/>
    <mergeCell ref="LW13:LX13"/>
    <mergeCell ref="OT26:OU26"/>
    <mergeCell ref="IY33:IZ33"/>
    <mergeCell ref="GN1:GO1"/>
    <mergeCell ref="KW10:KX10"/>
    <mergeCell ref="OP9:OQ9"/>
    <mergeCell ref="MO1:MP1"/>
    <mergeCell ref="FB17:FC17"/>
    <mergeCell ref="PR17:PS17"/>
    <mergeCell ref="BU1:BV1"/>
    <mergeCell ref="OY18:OZ18"/>
    <mergeCell ref="MW8:MX8"/>
    <mergeCell ref="KJ24:KK24"/>
    <mergeCell ref="BL15:BM15"/>
    <mergeCell ref="PI22:PJ22"/>
    <mergeCell ref="PR19:PS19"/>
    <mergeCell ref="OY14:OZ14"/>
    <mergeCell ref="KJ20:KK20"/>
    <mergeCell ref="CG31:CH31"/>
    <mergeCell ref="PW34:PX34"/>
    <mergeCell ref="BP29:BQ29"/>
    <mergeCell ref="JG31:JH31"/>
    <mergeCell ref="HE15:HF15"/>
    <mergeCell ref="FB28:FC28"/>
    <mergeCell ref="PR28:PS28"/>
    <mergeCell ref="DO31:DP31"/>
    <mergeCell ref="MJ31:MK31"/>
    <mergeCell ref="KJ18:KK18"/>
    <mergeCell ref="OP18:OQ18"/>
    <mergeCell ref="MJ22:MK22"/>
    <mergeCell ref="EK33:EL33"/>
    <mergeCell ref="IT18:IU18"/>
    <mergeCell ref="GN30:GO30"/>
    <mergeCell ref="FB23:FC23"/>
    <mergeCell ref="DT28:DU28"/>
    <mergeCell ref="EB15:EC15"/>
    <mergeCell ref="LF30:LG30"/>
    <mergeCell ref="OK33:OL33"/>
    <mergeCell ref="PI20:PJ20"/>
    <mergeCell ref="HZ21:IA21"/>
    <mergeCell ref="CP28:CQ28"/>
    <mergeCell ref="PW16:PX16"/>
    <mergeCell ref="FB34:FC34"/>
    <mergeCell ref="PR34:PS34"/>
    <mergeCell ref="IP18:IQ18"/>
    <mergeCell ref="KR20:KS20"/>
    <mergeCell ref="JG19:JH19"/>
    <mergeCell ref="NO16:NP16"/>
    <mergeCell ref="KR19:KS19"/>
    <mergeCell ref="CL30:CM30"/>
    <mergeCell ref="BP18:BQ18"/>
    <mergeCell ref="QG23:QH23"/>
    <mergeCell ref="HI14:HJ14"/>
    <mergeCell ref="GN27:GO27"/>
    <mergeCell ref="FB14:FC14"/>
    <mergeCell ref="BD32:BE32"/>
    <mergeCell ref="GJ4:GK4"/>
    <mergeCell ref="MO19:MP19"/>
    <mergeCell ref="BD26:BE26"/>
    <mergeCell ref="DX6:DY6"/>
    <mergeCell ref="HZ19:IA19"/>
    <mergeCell ref="GN12:GO12"/>
    <mergeCell ref="HE32:HF32"/>
    <mergeCell ref="KB7:KC7"/>
    <mergeCell ref="DG9:DH9"/>
    <mergeCell ref="DG4:DH4"/>
    <mergeCell ref="HZ10:IA10"/>
    <mergeCell ref="PM4:PN4"/>
    <mergeCell ref="QG7:QH7"/>
    <mergeCell ref="QG13:QH13"/>
    <mergeCell ref="JX9:JY9"/>
    <mergeCell ref="JX11:JY11"/>
    <mergeCell ref="IL4:IM4"/>
    <mergeCell ref="LB10:LC10"/>
    <mergeCell ref="BP13:BQ13"/>
    <mergeCell ref="NO8:NP8"/>
    <mergeCell ref="DX14:DY14"/>
    <mergeCell ref="NX31:NY31"/>
    <mergeCell ref="EW30:EX30"/>
    <mergeCell ref="MW7:MX7"/>
    <mergeCell ref="NX12:NY12"/>
    <mergeCell ref="FS18:FT18"/>
    <mergeCell ref="OG28:OH28"/>
    <mergeCell ref="OP35:OQ35"/>
    <mergeCell ref="QB25:QC25"/>
    <mergeCell ref="HA34:HB34"/>
    <mergeCell ref="FJ35:FK35"/>
    <mergeCell ref="MW35:MX35"/>
    <mergeCell ref="EF35:EG35"/>
    <mergeCell ref="PR25:PS25"/>
    <mergeCell ref="HU31:HV31"/>
    <mergeCell ref="IL34:IM34"/>
    <mergeCell ref="JG30:JH30"/>
    <mergeCell ref="GJ27:GK27"/>
    <mergeCell ref="NS22:NT22"/>
    <mergeCell ref="OY35:OZ35"/>
    <mergeCell ref="OY13:OZ13"/>
    <mergeCell ref="JS10:JT10"/>
    <mergeCell ref="QB33:QC33"/>
    <mergeCell ref="QB28:QC28"/>
    <mergeCell ref="PR10:PS10"/>
    <mergeCell ref="NB34:NC34"/>
    <mergeCell ref="MS34:MT34"/>
    <mergeCell ref="ID28:IE28"/>
    <mergeCell ref="EW23:EX23"/>
    <mergeCell ref="LS16:LT16"/>
    <mergeCell ref="OT34:OU34"/>
    <mergeCell ref="LW35:LX35"/>
    <mergeCell ref="HZ27:IA27"/>
    <mergeCell ref="EF23:EG23"/>
    <mergeCell ref="MW32:MX32"/>
    <mergeCell ref="LJ28:LK28"/>
    <mergeCell ref="LO13:LP13"/>
    <mergeCell ref="KF25:KG25"/>
    <mergeCell ref="PD32:PE32"/>
    <mergeCell ref="OW1:OX2"/>
    <mergeCell ref="LS32:LT32"/>
    <mergeCell ref="NO23:NP23"/>
    <mergeCell ref="IP32:IQ32"/>
    <mergeCell ref="OK18:OL18"/>
    <mergeCell ref="HA17:HB17"/>
    <mergeCell ref="IP25:IQ25"/>
    <mergeCell ref="GE13:GF13"/>
    <mergeCell ref="MJ4:MK4"/>
    <mergeCell ref="NF24:NG24"/>
    <mergeCell ref="NF28:NG28"/>
    <mergeCell ref="IH8:II8"/>
    <mergeCell ref="IY20:IZ20"/>
    <mergeCell ref="HM13:HN13"/>
    <mergeCell ref="HM22:HN22"/>
    <mergeCell ref="JS19:JT19"/>
    <mergeCell ref="MF22:MG22"/>
    <mergeCell ref="OK27:OL27"/>
    <mergeCell ref="JG9:JH9"/>
    <mergeCell ref="LJ32:LK32"/>
    <mergeCell ref="HE29:HF29"/>
    <mergeCell ref="NX13:NY13"/>
    <mergeCell ref="GE21:GF21"/>
    <mergeCell ref="KJ17:KK17"/>
    <mergeCell ref="NX28:NY28"/>
    <mergeCell ref="JK20:JL20"/>
    <mergeCell ref="NX19:NY19"/>
    <mergeCell ref="GV32:GW32"/>
    <mergeCell ref="NX15:NY15"/>
    <mergeCell ref="JO31:JP31"/>
    <mergeCell ref="LW18:LX18"/>
    <mergeCell ref="OT7:OU7"/>
    <mergeCell ref="PI4:PJ4"/>
    <mergeCell ref="LW1:LX1"/>
    <mergeCell ref="IH6:II6"/>
    <mergeCell ref="OE1:OF2"/>
    <mergeCell ref="GA6:GB6"/>
    <mergeCell ref="FJ9:FK9"/>
    <mergeCell ref="DK11:DL11"/>
    <mergeCell ref="NX29:NY29"/>
    <mergeCell ref="GV24:GW24"/>
    <mergeCell ref="FJ17:FK17"/>
    <mergeCell ref="MF4:MG4"/>
    <mergeCell ref="KJ35:KK35"/>
    <mergeCell ref="GJ3:GK3"/>
    <mergeCell ref="JX19:JY19"/>
    <mergeCell ref="LJ24:LK24"/>
    <mergeCell ref="CL15:CM15"/>
    <mergeCell ref="OG19:OH19"/>
    <mergeCell ref="NX22:NY22"/>
    <mergeCell ref="JC31:JD31"/>
    <mergeCell ref="JG15:JH15"/>
    <mergeCell ref="HA8:HB8"/>
    <mergeCell ref="HE21:HF21"/>
    <mergeCell ref="DX17:DY17"/>
    <mergeCell ref="GR28:GS28"/>
    <mergeCell ref="FF26:FG26"/>
    <mergeCell ref="DT16:DU16"/>
    <mergeCell ref="FF24:FG24"/>
    <mergeCell ref="KF22:KG22"/>
    <mergeCell ref="GR24:GS24"/>
    <mergeCell ref="KW11:KX11"/>
    <mergeCell ref="MO29:MP29"/>
    <mergeCell ref="NO5:NP5"/>
    <mergeCell ref="HQ32:HR32"/>
    <mergeCell ref="EB9:EC9"/>
    <mergeCell ref="LF6:LG6"/>
    <mergeCell ref="LO32:LP32"/>
    <mergeCell ref="NJ10:NK10"/>
    <mergeCell ref="GA5:GB5"/>
    <mergeCell ref="IW1:IX2"/>
    <mergeCell ref="JX5:JY5"/>
    <mergeCell ref="KR9:KS9"/>
    <mergeCell ref="LS24:LT24"/>
    <mergeCell ref="BU10:BV10"/>
    <mergeCell ref="JX26:JY26"/>
    <mergeCell ref="GJ30:GK30"/>
    <mergeCell ref="FS5:FT5"/>
    <mergeCell ref="KB20:KC20"/>
    <mergeCell ref="KB14:KC14"/>
    <mergeCell ref="JG27:JH27"/>
    <mergeCell ref="GA29:GB29"/>
    <mergeCell ref="HM28:HN28"/>
    <mergeCell ref="HZ1:IA1"/>
    <mergeCell ref="IL32:IM32"/>
    <mergeCell ref="NJ12:NK12"/>
    <mergeCell ref="HQ28:HR28"/>
    <mergeCell ref="ID11:IE11"/>
    <mergeCell ref="JK29:JL29"/>
    <mergeCell ref="HA13:HB13"/>
    <mergeCell ref="KY1:KY3"/>
    <mergeCell ref="ES4:ET4"/>
    <mergeCell ref="HM32:HN32"/>
    <mergeCell ref="BU29:BV29"/>
    <mergeCell ref="CG17:CH17"/>
    <mergeCell ref="CX29:CY29"/>
    <mergeCell ref="MS3:MT3"/>
    <mergeCell ref="MD1:ME2"/>
    <mergeCell ref="HU29:HV29"/>
    <mergeCell ref="GJ26:GK26"/>
    <mergeCell ref="JG28:JH28"/>
    <mergeCell ref="KL1:KM2"/>
    <mergeCell ref="DO4:DP4"/>
    <mergeCell ref="CT17:CU17"/>
    <mergeCell ref="CT11:CU11"/>
    <mergeCell ref="NO21:NP21"/>
    <mergeCell ref="IL1:IM1"/>
    <mergeCell ref="EF16:EG16"/>
    <mergeCell ref="JG17:JH17"/>
    <mergeCell ref="DG3:DH3"/>
    <mergeCell ref="LJ19:LK19"/>
    <mergeCell ref="GC1:GD2"/>
    <mergeCell ref="DV1:DW2"/>
    <mergeCell ref="NL1:NL3"/>
    <mergeCell ref="MS1:MT1"/>
    <mergeCell ref="IL27:IM27"/>
    <mergeCell ref="LF28:LG28"/>
    <mergeCell ref="JS7:JT7"/>
    <mergeCell ref="CX14:CY14"/>
    <mergeCell ref="LF22:LG22"/>
    <mergeCell ref="MJ11:MK11"/>
    <mergeCell ref="MH1:MI2"/>
    <mergeCell ref="FS16:FT16"/>
    <mergeCell ref="IP16:IQ16"/>
    <mergeCell ref="CX23:CY23"/>
    <mergeCell ref="KW14:KX14"/>
    <mergeCell ref="MF24:MG24"/>
    <mergeCell ref="KJ7:KK7"/>
    <mergeCell ref="AD29:AE29"/>
    <mergeCell ref="AD23:AE23"/>
    <mergeCell ref="H30:I30"/>
    <mergeCell ref="LO18:LP18"/>
    <mergeCell ref="MO30:MP30"/>
    <mergeCell ref="AM24:AN24"/>
    <mergeCell ref="AY24:AZ24"/>
    <mergeCell ref="M30:N30"/>
    <mergeCell ref="H8:I8"/>
    <mergeCell ref="Z16:AA16"/>
    <mergeCell ref="AD28:AE28"/>
    <mergeCell ref="H23:I23"/>
    <mergeCell ref="AH10:AI10"/>
    <mergeCell ref="AD10:AE10"/>
    <mergeCell ref="BH26:BI26"/>
    <mergeCell ref="MF21:MG21"/>
    <mergeCell ref="DT17:DU17"/>
    <mergeCell ref="MF23:MG23"/>
    <mergeCell ref="V15:W15"/>
    <mergeCell ref="EB18:EC18"/>
    <mergeCell ref="MB20:MC20"/>
    <mergeCell ref="BP21:BQ21"/>
    <mergeCell ref="BU12:BV12"/>
    <mergeCell ref="CC27:CD27"/>
    <mergeCell ref="AU8:AV8"/>
    <mergeCell ref="CC9:CD9"/>
    <mergeCell ref="HI16:HJ16"/>
    <mergeCell ref="FN26:FO26"/>
    <mergeCell ref="GE15:GF15"/>
    <mergeCell ref="GV9:GW9"/>
    <mergeCell ref="EO9:EP9"/>
    <mergeCell ref="LB8:LC8"/>
    <mergeCell ref="EB34:EC34"/>
    <mergeCell ref="AQ8:AR8"/>
    <mergeCell ref="JO17:JP17"/>
    <mergeCell ref="JO11:JP11"/>
    <mergeCell ref="M14:N14"/>
    <mergeCell ref="V31:W31"/>
    <mergeCell ref="M5:N5"/>
    <mergeCell ref="DO10:DP10"/>
    <mergeCell ref="H28:I28"/>
    <mergeCell ref="EO5:EP5"/>
    <mergeCell ref="HE18:HF18"/>
    <mergeCell ref="DT8:DU8"/>
    <mergeCell ref="CT15:CU15"/>
    <mergeCell ref="KJ22:KK22"/>
    <mergeCell ref="MW27:MX27"/>
    <mergeCell ref="ES14:ET14"/>
    <mergeCell ref="H9:I9"/>
    <mergeCell ref="DG30:DH30"/>
    <mergeCell ref="AQ7:AR7"/>
    <mergeCell ref="V20:W20"/>
    <mergeCell ref="BU23:BV23"/>
    <mergeCell ref="EK13:EL13"/>
    <mergeCell ref="MF30:MG30"/>
    <mergeCell ref="LS5:LT5"/>
    <mergeCell ref="Q19:R19"/>
    <mergeCell ref="AH31:AI31"/>
    <mergeCell ref="CL13:CM13"/>
    <mergeCell ref="IH26:II26"/>
    <mergeCell ref="H29:I29"/>
    <mergeCell ref="V18:W18"/>
    <mergeCell ref="V29:W29"/>
    <mergeCell ref="MS7:MT7"/>
    <mergeCell ref="QI1:QI3"/>
    <mergeCell ref="OB12:OC12"/>
    <mergeCell ref="IB1:IC2"/>
    <mergeCell ref="EF33:EG33"/>
    <mergeCell ref="ID23:IE23"/>
    <mergeCell ref="LO34:LP34"/>
    <mergeCell ref="AH22:AI22"/>
    <mergeCell ref="HU30:HV30"/>
    <mergeCell ref="QB24:QC24"/>
    <mergeCell ref="LF13:LG13"/>
    <mergeCell ref="FS14:FT14"/>
    <mergeCell ref="NB15:NC15"/>
    <mergeCell ref="KN21:KO21"/>
    <mergeCell ref="MJ23:MK23"/>
    <mergeCell ref="OB14:OC14"/>
    <mergeCell ref="DT6:DU6"/>
    <mergeCell ref="AM1:AN1"/>
    <mergeCell ref="QG3:QH3"/>
    <mergeCell ref="DT1:DU1"/>
    <mergeCell ref="DC4:DD4"/>
    <mergeCell ref="AQ6:AR6"/>
    <mergeCell ref="AY34:AZ34"/>
    <mergeCell ref="QG32:QH32"/>
    <mergeCell ref="PI29:PJ29"/>
    <mergeCell ref="MB24:MC24"/>
    <mergeCell ref="JG8:JH8"/>
    <mergeCell ref="ID10:IE10"/>
    <mergeCell ref="HI15:HJ15"/>
    <mergeCell ref="HE10:HF10"/>
    <mergeCell ref="IL7:IM7"/>
    <mergeCell ref="KF18:KG18"/>
    <mergeCell ref="MS11:MT11"/>
    <mergeCell ref="D15:E15"/>
    <mergeCell ref="LS18:LT18"/>
    <mergeCell ref="AY7:AZ7"/>
    <mergeCell ref="DO30:DP30"/>
    <mergeCell ref="MJ21:MK21"/>
    <mergeCell ref="D28:E28"/>
    <mergeCell ref="D30:E30"/>
    <mergeCell ref="M13:N13"/>
    <mergeCell ref="M7:N7"/>
    <mergeCell ref="Q15:R15"/>
    <mergeCell ref="DO28:DP28"/>
    <mergeCell ref="BH28:BI28"/>
    <mergeCell ref="NB14:NC14"/>
    <mergeCell ref="OB19:OC19"/>
    <mergeCell ref="HU28:HV28"/>
    <mergeCell ref="HE25:HF25"/>
    <mergeCell ref="AQ10:AR10"/>
    <mergeCell ref="NO18:NP18"/>
    <mergeCell ref="NS18:NT18"/>
    <mergeCell ref="AM9:AN9"/>
    <mergeCell ref="DK19:DL19"/>
    <mergeCell ref="D19:E19"/>
    <mergeCell ref="D9:E9"/>
    <mergeCell ref="JO14:JP14"/>
    <mergeCell ref="FN23:FO23"/>
    <mergeCell ref="MJ10:MK10"/>
    <mergeCell ref="JG14:JH14"/>
    <mergeCell ref="IL25:IM25"/>
    <mergeCell ref="LF24:LG24"/>
    <mergeCell ref="NB26:NC26"/>
    <mergeCell ref="BL12:BM12"/>
    <mergeCell ref="HA30:HB30"/>
    <mergeCell ref="MO34:MP34"/>
    <mergeCell ref="FJ16:FK16"/>
    <mergeCell ref="FB11:FC11"/>
    <mergeCell ref="NX30:NY30"/>
    <mergeCell ref="LS31:LT31"/>
    <mergeCell ref="FB33:FC33"/>
    <mergeCell ref="GA12:GB12"/>
    <mergeCell ref="NJ13:NK13"/>
    <mergeCell ref="PM6:PN6"/>
    <mergeCell ref="CC30:CD30"/>
    <mergeCell ref="OP31:OQ31"/>
    <mergeCell ref="JG10:JH10"/>
    <mergeCell ref="HU3:HV3"/>
    <mergeCell ref="OB17:OC17"/>
    <mergeCell ref="PK1:PL2"/>
    <mergeCell ref="HI4:HJ4"/>
    <mergeCell ref="KN1:KO1"/>
    <mergeCell ref="GJ28:GK28"/>
    <mergeCell ref="LJ17:LK17"/>
    <mergeCell ref="LB27:LC27"/>
    <mergeCell ref="DG31:DH31"/>
    <mergeCell ref="ES30:ET30"/>
    <mergeCell ref="CC7:CD7"/>
    <mergeCell ref="PI30:PJ30"/>
    <mergeCell ref="EW8:EX8"/>
    <mergeCell ref="PM8:PN8"/>
    <mergeCell ref="CT13:CU13"/>
    <mergeCell ref="KW29:KX29"/>
    <mergeCell ref="MS31:MT31"/>
    <mergeCell ref="EW5:EX5"/>
    <mergeCell ref="OY15:OZ15"/>
    <mergeCell ref="MJ29:MK29"/>
    <mergeCell ref="MW34:MX34"/>
    <mergeCell ref="PM25:PN25"/>
    <mergeCell ref="OY3:OZ3"/>
    <mergeCell ref="DC8:DD8"/>
    <mergeCell ref="JX35:JY35"/>
    <mergeCell ref="HA32:HB32"/>
    <mergeCell ref="OT24:OU24"/>
    <mergeCell ref="JX34:JY34"/>
    <mergeCell ref="JO13:JP13"/>
    <mergeCell ref="IT20:IU20"/>
    <mergeCell ref="NS4:NT4"/>
    <mergeCell ref="FF27:FG27"/>
    <mergeCell ref="JO15:JP15"/>
    <mergeCell ref="IT22:IU22"/>
    <mergeCell ref="FN34:FO34"/>
    <mergeCell ref="NS33:NT33"/>
    <mergeCell ref="OP33:OQ33"/>
    <mergeCell ref="LJ34:LK34"/>
    <mergeCell ref="KN34:KO34"/>
    <mergeCell ref="MF10:MG10"/>
    <mergeCell ref="DK29:DL29"/>
    <mergeCell ref="IT35:IU35"/>
    <mergeCell ref="DK20:DL20"/>
    <mergeCell ref="LO4:LP4"/>
    <mergeCell ref="OK11:OL11"/>
    <mergeCell ref="MB35:MC35"/>
    <mergeCell ref="PI8:PJ8"/>
    <mergeCell ref="EB35:EC35"/>
    <mergeCell ref="LO35:LP35"/>
    <mergeCell ref="PD27:PE27"/>
    <mergeCell ref="OP13:OQ13"/>
    <mergeCell ref="OY11:OZ11"/>
    <mergeCell ref="PW18:PX18"/>
    <mergeCell ref="EW19:EX19"/>
    <mergeCell ref="PM19:PN19"/>
    <mergeCell ref="EB32:EC32"/>
    <mergeCell ref="IT34:IU34"/>
    <mergeCell ref="LS12:LT12"/>
    <mergeCell ref="DK4:DL4"/>
    <mergeCell ref="PW7:PX7"/>
    <mergeCell ref="NJ23:NK23"/>
    <mergeCell ref="PR8:PS8"/>
    <mergeCell ref="PR16:PS16"/>
    <mergeCell ref="NS31:NT31"/>
    <mergeCell ref="CX30:CY30"/>
    <mergeCell ref="HM29:HN29"/>
    <mergeCell ref="GV21:GW21"/>
    <mergeCell ref="IY23:IZ23"/>
    <mergeCell ref="NB30:NC30"/>
    <mergeCell ref="GV34:GW34"/>
    <mergeCell ref="KB34:KC34"/>
    <mergeCell ref="JS11:JT11"/>
    <mergeCell ref="NO25:NP25"/>
    <mergeCell ref="MF20:MG20"/>
    <mergeCell ref="IP34:IQ34"/>
    <mergeCell ref="IH23:II23"/>
    <mergeCell ref="KR23:KS23"/>
    <mergeCell ref="FS32:FT32"/>
    <mergeCell ref="JS8:JT8"/>
    <mergeCell ref="DK22:DL22"/>
    <mergeCell ref="DG10:DH10"/>
    <mergeCell ref="HI29:HJ29"/>
    <mergeCell ref="NF32:NG32"/>
    <mergeCell ref="FJ6:FK6"/>
    <mergeCell ref="IT33:IU33"/>
    <mergeCell ref="GA14:GB14"/>
    <mergeCell ref="AM11:AN11"/>
    <mergeCell ref="JO28:JP28"/>
    <mergeCell ref="DX18:DY18"/>
    <mergeCell ref="DC31:DD31"/>
    <mergeCell ref="LS25:LT25"/>
    <mergeCell ref="CG19:CH19"/>
    <mergeCell ref="JC12:JD12"/>
    <mergeCell ref="HU27:HV27"/>
    <mergeCell ref="NF25:NG25"/>
    <mergeCell ref="MS30:MT30"/>
    <mergeCell ref="GR25:GS25"/>
    <mergeCell ref="HM15:HN15"/>
    <mergeCell ref="CL16:CM16"/>
    <mergeCell ref="NB16:NC16"/>
    <mergeCell ref="BL13:BM13"/>
    <mergeCell ref="CP25:CQ25"/>
    <mergeCell ref="EF13:EG13"/>
    <mergeCell ref="EW20:EX20"/>
    <mergeCell ref="CP23:CQ23"/>
    <mergeCell ref="MW33:MX33"/>
    <mergeCell ref="GE29:GF29"/>
    <mergeCell ref="LW22:LX22"/>
    <mergeCell ref="GV25:GW25"/>
    <mergeCell ref="FF15:FG15"/>
    <mergeCell ref="EB31:EC31"/>
    <mergeCell ref="JK14:JL14"/>
    <mergeCell ref="NF14:NG14"/>
    <mergeCell ref="GN18:GO18"/>
    <mergeCell ref="MB29:MC29"/>
    <mergeCell ref="CL28:CM28"/>
    <mergeCell ref="D24:E24"/>
    <mergeCell ref="JC14:JD14"/>
    <mergeCell ref="M19:N19"/>
    <mergeCell ref="JK1:JL1"/>
    <mergeCell ref="D26:E26"/>
    <mergeCell ref="CX32:CY32"/>
    <mergeCell ref="QG14:QH14"/>
    <mergeCell ref="EK24:EL24"/>
    <mergeCell ref="FW23:FX23"/>
    <mergeCell ref="MS16:MT16"/>
    <mergeCell ref="OK7:OL7"/>
    <mergeCell ref="M3:N3"/>
    <mergeCell ref="AQ19:AR19"/>
    <mergeCell ref="V32:W32"/>
    <mergeCell ref="BP1:BQ1"/>
    <mergeCell ref="V26:W26"/>
    <mergeCell ref="DM1:DN2"/>
    <mergeCell ref="MS18:MT18"/>
    <mergeCell ref="IT32:IU32"/>
    <mergeCell ref="AM7:AN7"/>
    <mergeCell ref="OK32:OL32"/>
    <mergeCell ref="Z1:AA1"/>
    <mergeCell ref="MB26:MC26"/>
    <mergeCell ref="ID8:IE8"/>
    <mergeCell ref="CT14:CU14"/>
    <mergeCell ref="GA21:GB21"/>
    <mergeCell ref="D6:E6"/>
    <mergeCell ref="HQ19:HR19"/>
    <mergeCell ref="GE12:GF12"/>
    <mergeCell ref="BP12:BQ12"/>
    <mergeCell ref="EW11:EX11"/>
    <mergeCell ref="M32:N32"/>
    <mergeCell ref="H27:I27"/>
    <mergeCell ref="BU5:BV5"/>
    <mergeCell ref="AH26:AI26"/>
    <mergeCell ref="V13:W13"/>
    <mergeCell ref="M15:N15"/>
    <mergeCell ref="H10:I10"/>
    <mergeCell ref="AY16:AZ16"/>
    <mergeCell ref="AY21:AZ21"/>
    <mergeCell ref="BL24:BM24"/>
    <mergeCell ref="GJ20:GK20"/>
    <mergeCell ref="KJ21:KK21"/>
    <mergeCell ref="H18:I18"/>
    <mergeCell ref="ES10:ET10"/>
    <mergeCell ref="JK12:JL12"/>
    <mergeCell ref="CL18:CM18"/>
    <mergeCell ref="ES27:ET27"/>
    <mergeCell ref="CL27:CM27"/>
    <mergeCell ref="JK27:JL27"/>
    <mergeCell ref="BH24:BI24"/>
    <mergeCell ref="M18:N18"/>
    <mergeCell ref="M17:N17"/>
    <mergeCell ref="GJ15:GK15"/>
    <mergeCell ref="BU15:BV15"/>
    <mergeCell ref="IP24:IQ24"/>
    <mergeCell ref="CX18:CY18"/>
    <mergeCell ref="GN19:GO19"/>
    <mergeCell ref="AQ17:AR17"/>
    <mergeCell ref="GN22:GO22"/>
    <mergeCell ref="DK10:DL10"/>
    <mergeCell ref="Q5:R5"/>
    <mergeCell ref="AD21:AE21"/>
    <mergeCell ref="EO7:EP7"/>
    <mergeCell ref="JX4:JY4"/>
    <mergeCell ref="JC17:JD17"/>
    <mergeCell ref="HQ4:HR4"/>
    <mergeCell ref="KW9:KX9"/>
    <mergeCell ref="EO3:EP3"/>
    <mergeCell ref="LS22:LT22"/>
    <mergeCell ref="EQ1:ER2"/>
    <mergeCell ref="JO10:JP10"/>
    <mergeCell ref="GA11:GB11"/>
    <mergeCell ref="KN20:KO20"/>
    <mergeCell ref="JE1:JF2"/>
    <mergeCell ref="M16:N16"/>
    <mergeCell ref="GV17:GW17"/>
    <mergeCell ref="BP14:BQ14"/>
    <mergeCell ref="KN23:KO23"/>
    <mergeCell ref="Z14:AA14"/>
    <mergeCell ref="AM27:AN27"/>
    <mergeCell ref="BD1:BE1"/>
    <mergeCell ref="KH1:KI2"/>
    <mergeCell ref="GJ1:GK1"/>
    <mergeCell ref="JG3:JH3"/>
    <mergeCell ref="BW1:BX2"/>
    <mergeCell ref="BU4:BV4"/>
    <mergeCell ref="GN4:GO4"/>
    <mergeCell ref="HS1:HT2"/>
    <mergeCell ref="EF3:EG3"/>
    <mergeCell ref="CE1:CF2"/>
    <mergeCell ref="FN9:FO9"/>
    <mergeCell ref="FS8:FT8"/>
    <mergeCell ref="GR1:GS1"/>
    <mergeCell ref="FW3:FX3"/>
    <mergeCell ref="IH10:II10"/>
    <mergeCell ref="QG35:QH35"/>
    <mergeCell ref="ES3:ET3"/>
    <mergeCell ref="FW21:FX21"/>
    <mergeCell ref="CP16:CQ16"/>
    <mergeCell ref="GE8:GF8"/>
    <mergeCell ref="FJ15:FK15"/>
    <mergeCell ref="LO5:LP5"/>
    <mergeCell ref="KN17:KO17"/>
    <mergeCell ref="BP8:BQ8"/>
    <mergeCell ref="MF8:MG8"/>
    <mergeCell ref="CZ1:CZ3"/>
    <mergeCell ref="OB10:OC10"/>
    <mergeCell ref="BY31:BZ31"/>
    <mergeCell ref="MO31:MP31"/>
    <mergeCell ref="OK35:OL35"/>
    <mergeCell ref="ES5:ET5"/>
    <mergeCell ref="CP18:CQ18"/>
    <mergeCell ref="DG21:DH21"/>
    <mergeCell ref="GV13:GW13"/>
    <mergeCell ref="QG33:QH33"/>
    <mergeCell ref="BY11:BZ11"/>
    <mergeCell ref="PW9:PX9"/>
    <mergeCell ref="NJ25:NK25"/>
    <mergeCell ref="LS14:LT14"/>
    <mergeCell ref="KF35:KG35"/>
    <mergeCell ref="BY4:BZ4"/>
    <mergeCell ref="ID19:IE19"/>
    <mergeCell ref="PM20:PN20"/>
    <mergeCell ref="EB27:EC27"/>
    <mergeCell ref="DK9:DL9"/>
    <mergeCell ref="GV1:GW1"/>
    <mergeCell ref="FN32:FO32"/>
    <mergeCell ref="PW33:PX33"/>
    <mergeCell ref="OK31:OL31"/>
    <mergeCell ref="HE7:HF7"/>
    <mergeCell ref="AM21:AN21"/>
    <mergeCell ref="CG15:CH15"/>
    <mergeCell ref="IL5:IM5"/>
    <mergeCell ref="PW35:PX35"/>
    <mergeCell ref="JC8:JD8"/>
    <mergeCell ref="GE5:GF5"/>
    <mergeCell ref="GE34:GF34"/>
    <mergeCell ref="KN14:KO14"/>
    <mergeCell ref="JS27:JT27"/>
    <mergeCell ref="ES21:ET21"/>
    <mergeCell ref="PI21:PJ21"/>
    <mergeCell ref="DX34:DY34"/>
    <mergeCell ref="FN18:FO18"/>
    <mergeCell ref="JC10:JD10"/>
    <mergeCell ref="EB11:EC11"/>
    <mergeCell ref="OY32:OZ32"/>
    <mergeCell ref="ES23:ET23"/>
    <mergeCell ref="GE30:GF30"/>
    <mergeCell ref="KJ32:KK32"/>
    <mergeCell ref="LO16:LP16"/>
    <mergeCell ref="CG34:CH34"/>
    <mergeCell ref="CP7:CQ7"/>
    <mergeCell ref="NB13:NC13"/>
    <mergeCell ref="LB9:LC9"/>
    <mergeCell ref="LJ6:LK6"/>
    <mergeCell ref="EF18:EG18"/>
    <mergeCell ref="EW10:EX10"/>
    <mergeCell ref="KF24:KG24"/>
    <mergeCell ref="PM17:PN17"/>
    <mergeCell ref="QB32:QC32"/>
    <mergeCell ref="PW30:PX30"/>
    <mergeCell ref="LO3:LP3"/>
    <mergeCell ref="PD4:PE4"/>
    <mergeCell ref="OT15:OU15"/>
    <mergeCell ref="EK5:EL5"/>
    <mergeCell ref="FB29:FC29"/>
    <mergeCell ref="KF4:KG4"/>
    <mergeCell ref="DG23:DH23"/>
    <mergeCell ref="GV15:GW15"/>
    <mergeCell ref="BY28:BZ28"/>
    <mergeCell ref="HI31:HJ31"/>
    <mergeCell ref="ES8:ET8"/>
    <mergeCell ref="PT1:PT3"/>
    <mergeCell ref="IY1:IZ1"/>
    <mergeCell ref="DX27:DY27"/>
    <mergeCell ref="IH4:II4"/>
    <mergeCell ref="HM17:HN17"/>
    <mergeCell ref="GA4:GB4"/>
    <mergeCell ref="FF17:FG17"/>
    <mergeCell ref="DO6:DP6"/>
    <mergeCell ref="PW26:PX26"/>
    <mergeCell ref="PM21:PN21"/>
    <mergeCell ref="OT22:OU22"/>
    <mergeCell ref="DK28:DL28"/>
    <mergeCell ref="PM29:PN29"/>
    <mergeCell ref="OY5:OZ5"/>
    <mergeCell ref="PG1:PH2"/>
    <mergeCell ref="JK17:JL17"/>
    <mergeCell ref="JK11:JL11"/>
    <mergeCell ref="JO8:JP8"/>
    <mergeCell ref="HI5:HJ5"/>
    <mergeCell ref="PA1:PA3"/>
    <mergeCell ref="KZ1:LA2"/>
    <mergeCell ref="ES1:ET1"/>
    <mergeCell ref="PR11:PS11"/>
    <mergeCell ref="DC10:DD10"/>
    <mergeCell ref="KB4:KC4"/>
    <mergeCell ref="OY1:OZ1"/>
    <mergeCell ref="PM18:PN18"/>
    <mergeCell ref="HQ3:HR3"/>
    <mergeCell ref="HQ30:HR30"/>
    <mergeCell ref="HI7:HJ7"/>
    <mergeCell ref="GN20:GO20"/>
    <mergeCell ref="AQ35:AR35"/>
    <mergeCell ref="DT25:DU25"/>
    <mergeCell ref="DG19:DH19"/>
    <mergeCell ref="CL32:CM32"/>
    <mergeCell ref="NX8:NY8"/>
    <mergeCell ref="JC21:JD21"/>
    <mergeCell ref="MM1:MN2"/>
    <mergeCell ref="FW6:FX6"/>
    <mergeCell ref="HA18:HB18"/>
    <mergeCell ref="MJ19:MK19"/>
    <mergeCell ref="PD9:PE9"/>
    <mergeCell ref="OT20:OU20"/>
    <mergeCell ref="FW13:FX13"/>
    <mergeCell ref="DG22:DH22"/>
    <mergeCell ref="NX17:NY17"/>
    <mergeCell ref="DG20:DH20"/>
    <mergeCell ref="LF17:LG17"/>
    <mergeCell ref="LF19:LG19"/>
    <mergeCell ref="FN13:FO13"/>
    <mergeCell ref="IH1:II1"/>
    <mergeCell ref="PR18:PS18"/>
    <mergeCell ref="OT13:OU13"/>
    <mergeCell ref="NB24:NC24"/>
    <mergeCell ref="MJ27:MK27"/>
    <mergeCell ref="LW31:LX31"/>
    <mergeCell ref="PD30:PE30"/>
    <mergeCell ref="NO22:NP22"/>
    <mergeCell ref="JC23:JD23"/>
    <mergeCell ref="KB5:KC5"/>
    <mergeCell ref="PD29:PE29"/>
    <mergeCell ref="FW27:FX27"/>
    <mergeCell ref="EK20:EL20"/>
    <mergeCell ref="OP24:OQ24"/>
    <mergeCell ref="PD31:PE31"/>
    <mergeCell ref="LW26:LX26"/>
    <mergeCell ref="DG6:DH6"/>
    <mergeCell ref="EK22:EL22"/>
    <mergeCell ref="OP17:OQ17"/>
    <mergeCell ref="JK13:JL13"/>
    <mergeCell ref="MJ20:MK20"/>
    <mergeCell ref="PI28:PJ28"/>
    <mergeCell ref="OK28:OL28"/>
    <mergeCell ref="LS30:LT30"/>
    <mergeCell ref="LF31:LG31"/>
    <mergeCell ref="OG10:OH10"/>
    <mergeCell ref="NS20:NT20"/>
    <mergeCell ref="PM30:PN30"/>
    <mergeCell ref="NB9:NC9"/>
    <mergeCell ref="PD15:PE15"/>
    <mergeCell ref="PD16:PE16"/>
    <mergeCell ref="OY26:OZ26"/>
    <mergeCell ref="OK10:OL10"/>
    <mergeCell ref="KF33:KG33"/>
    <mergeCell ref="NB27:NC27"/>
    <mergeCell ref="NX32:NY32"/>
    <mergeCell ref="MJ32:MK32"/>
    <mergeCell ref="LJ30:LK30"/>
    <mergeCell ref="MF26:MG26"/>
    <mergeCell ref="QG29:QH29"/>
    <mergeCell ref="BD14:BE14"/>
    <mergeCell ref="JK8:JL8"/>
    <mergeCell ref="Q35:R35"/>
    <mergeCell ref="QB17:QC17"/>
    <mergeCell ref="BD13:BE13"/>
    <mergeCell ref="QG31:QH31"/>
    <mergeCell ref="LB21:LC21"/>
    <mergeCell ref="JK10:JL10"/>
    <mergeCell ref="CP12:CQ12"/>
    <mergeCell ref="NF12:NG12"/>
    <mergeCell ref="OG27:OH27"/>
    <mergeCell ref="HE22:HF22"/>
    <mergeCell ref="KB24:KC24"/>
    <mergeCell ref="BD15:BE15"/>
    <mergeCell ref="KB18:KC18"/>
    <mergeCell ref="GN25:GO25"/>
    <mergeCell ref="MO27:MP27"/>
    <mergeCell ref="Q30:R30"/>
    <mergeCell ref="CP14:CQ14"/>
    <mergeCell ref="HE35:HF35"/>
    <mergeCell ref="EO12:EP12"/>
    <mergeCell ref="Z12:AA12"/>
    <mergeCell ref="GE27:GF27"/>
    <mergeCell ref="BD28:BE28"/>
    <mergeCell ref="AU35:AV35"/>
    <mergeCell ref="AD22:AE22"/>
    <mergeCell ref="BU20:BV20"/>
    <mergeCell ref="MS35:MT35"/>
    <mergeCell ref="IP33:IQ33"/>
    <mergeCell ref="BU22:BV22"/>
    <mergeCell ref="OG9:OH9"/>
    <mergeCell ref="PI17:PJ17"/>
    <mergeCell ref="AM19:AN19"/>
    <mergeCell ref="BL1:BM1"/>
    <mergeCell ref="FN14:FO14"/>
    <mergeCell ref="LS33:LT33"/>
    <mergeCell ref="PI1:PJ1"/>
    <mergeCell ref="NF5:NG5"/>
    <mergeCell ref="GN24:GO24"/>
    <mergeCell ref="NQ1:NR2"/>
    <mergeCell ref="IY8:IZ8"/>
    <mergeCell ref="H25:I25"/>
    <mergeCell ref="PI19:PJ19"/>
    <mergeCell ref="DX32:DY32"/>
    <mergeCell ref="KJ3:KK3"/>
    <mergeCell ref="HE33:HF33"/>
    <mergeCell ref="H13:I13"/>
    <mergeCell ref="OG34:OH34"/>
    <mergeCell ref="IP35:IQ35"/>
    <mergeCell ref="HZ18:IA18"/>
    <mergeCell ref="EO8:EP8"/>
    <mergeCell ref="HE31:HF31"/>
    <mergeCell ref="JS4:JT4"/>
    <mergeCell ref="MO11:MP11"/>
    <mergeCell ref="NF31:NG31"/>
    <mergeCell ref="KB33:KC33"/>
    <mergeCell ref="OP1:OQ1"/>
    <mergeCell ref="OY12:OZ12"/>
    <mergeCell ref="FJ23:FK23"/>
    <mergeCell ref="DX16:DY16"/>
    <mergeCell ref="KJ12:KK12"/>
    <mergeCell ref="DC23:DD23"/>
    <mergeCell ref="EH1:EH3"/>
    <mergeCell ref="IH5:II5"/>
    <mergeCell ref="GE31:GF31"/>
    <mergeCell ref="DO19:DP19"/>
    <mergeCell ref="CT32:CU32"/>
    <mergeCell ref="IP20:IQ20"/>
    <mergeCell ref="MB8:MC8"/>
    <mergeCell ref="NX10:NY10"/>
    <mergeCell ref="LB6:LC6"/>
    <mergeCell ref="MS15:MT15"/>
    <mergeCell ref="KD1:KE2"/>
    <mergeCell ref="LS20:LT20"/>
    <mergeCell ref="KJ14:KK14"/>
    <mergeCell ref="EO21:EP21"/>
    <mergeCell ref="JO27:JP27"/>
    <mergeCell ref="KW28:KX28"/>
    <mergeCell ref="LS29:LT29"/>
    <mergeCell ref="LB19:LC19"/>
    <mergeCell ref="CX31:CY31"/>
    <mergeCell ref="HM19:HN19"/>
    <mergeCell ref="FF19:FG19"/>
    <mergeCell ref="HQ27:HR27"/>
    <mergeCell ref="OR1:OS2"/>
    <mergeCell ref="LS3:LT3"/>
    <mergeCell ref="EW3:EX3"/>
    <mergeCell ref="GR4:GS4"/>
    <mergeCell ref="CX1:CY1"/>
    <mergeCell ref="Q32:R32"/>
    <mergeCell ref="CX25:CY25"/>
    <mergeCell ref="IY25:IZ25"/>
    <mergeCell ref="NF3:NG3"/>
    <mergeCell ref="NO32:NP32"/>
    <mergeCell ref="FB26:FC26"/>
    <mergeCell ref="CL3:CM3"/>
    <mergeCell ref="PR26:PS26"/>
    <mergeCell ref="FS29:FT29"/>
    <mergeCell ref="PR9:PS9"/>
    <mergeCell ref="IP4:IQ4"/>
    <mergeCell ref="HM12:HN12"/>
    <mergeCell ref="IY17:IZ17"/>
    <mergeCell ref="OB18:OC18"/>
    <mergeCell ref="GR17:GS17"/>
    <mergeCell ref="FW12:FX12"/>
    <mergeCell ref="Q22:R22"/>
    <mergeCell ref="PD28:PE28"/>
    <mergeCell ref="NO20:NP20"/>
    <mergeCell ref="PD3:PE3"/>
    <mergeCell ref="IL16:IM16"/>
    <mergeCell ref="HQ29:HR29"/>
    <mergeCell ref="HQ23:HR23"/>
    <mergeCell ref="AM20:AN20"/>
    <mergeCell ref="Z20:AA20"/>
    <mergeCell ref="MS27:MT27"/>
    <mergeCell ref="IY12:IZ12"/>
    <mergeCell ref="JX21:JY21"/>
    <mergeCell ref="MB12:MC12"/>
    <mergeCell ref="LY1:LY3"/>
    <mergeCell ref="NV1:NW2"/>
    <mergeCell ref="KN19:KO19"/>
    <mergeCell ref="QB13:QC13"/>
    <mergeCell ref="NO29:NP29"/>
    <mergeCell ref="NO4:NP4"/>
    <mergeCell ref="FS3:FT3"/>
    <mergeCell ref="IP22:IQ22"/>
    <mergeCell ref="LB17:LC17"/>
    <mergeCell ref="OT23:OU23"/>
    <mergeCell ref="QB15:QC15"/>
    <mergeCell ref="PI6:PJ6"/>
    <mergeCell ref="QB5:QC5"/>
    <mergeCell ref="QB3:QC3"/>
    <mergeCell ref="EO14:EP14"/>
    <mergeCell ref="EW1:EX1"/>
    <mergeCell ref="PM1:PN1"/>
    <mergeCell ref="MB22:MC22"/>
    <mergeCell ref="IY4:IZ4"/>
    <mergeCell ref="LS1:LT1"/>
    <mergeCell ref="MB4:MC4"/>
    <mergeCell ref="OK9:OL9"/>
    <mergeCell ref="IY14:IZ14"/>
    <mergeCell ref="JG1:JH1"/>
    <mergeCell ref="OP15:OQ15"/>
    <mergeCell ref="MB21:MC21"/>
    <mergeCell ref="OP20:OQ20"/>
    <mergeCell ref="PW13:PX13"/>
    <mergeCell ref="OP4:OQ4"/>
    <mergeCell ref="PW24:PX24"/>
    <mergeCell ref="PW6:PX6"/>
    <mergeCell ref="OT4:OU4"/>
    <mergeCell ref="EO4:EP4"/>
    <mergeCell ref="QB7:QC7"/>
    <mergeCell ref="LW4:LX4"/>
    <mergeCell ref="H26:I26"/>
    <mergeCell ref="H6:I6"/>
    <mergeCell ref="BD24:BE24"/>
    <mergeCell ref="AU3:AV3"/>
    <mergeCell ref="Z10:AA10"/>
    <mergeCell ref="H24:I24"/>
    <mergeCell ref="Q4:R4"/>
    <mergeCell ref="Q3:R3"/>
    <mergeCell ref="CX3:CY3"/>
    <mergeCell ref="HQ10:HR10"/>
    <mergeCell ref="GE3:GF3"/>
    <mergeCell ref="FJ10:FK10"/>
    <mergeCell ref="EB16:EC16"/>
    <mergeCell ref="DC21:DD21"/>
    <mergeCell ref="BL14:BM14"/>
    <mergeCell ref="IH7:II7"/>
    <mergeCell ref="HM14:HN14"/>
    <mergeCell ref="GA7:GB7"/>
    <mergeCell ref="BL25:BM25"/>
    <mergeCell ref="H15:I15"/>
    <mergeCell ref="BH13:BI13"/>
    <mergeCell ref="IH16:II16"/>
    <mergeCell ref="HM23:HN23"/>
    <mergeCell ref="S1:S3"/>
    <mergeCell ref="DX9:DY9"/>
    <mergeCell ref="GV23:GW23"/>
    <mergeCell ref="BH1:BI1"/>
    <mergeCell ref="AQ4:AR4"/>
    <mergeCell ref="Z24:AA24"/>
    <mergeCell ref="HU1:HV1"/>
    <mergeCell ref="CX12:CY12"/>
    <mergeCell ref="CC19:CD19"/>
    <mergeCell ref="Z21:AA21"/>
    <mergeCell ref="GE11:GF11"/>
    <mergeCell ref="FJ24:FK24"/>
    <mergeCell ref="GH1:GI2"/>
    <mergeCell ref="IY10:IZ10"/>
    <mergeCell ref="DX11:DY11"/>
    <mergeCell ref="FJ18:FK18"/>
    <mergeCell ref="KU1:KV2"/>
    <mergeCell ref="KW23:KX23"/>
    <mergeCell ref="BD33:BE33"/>
    <mergeCell ref="FS7:FT7"/>
    <mergeCell ref="BL10:BM10"/>
    <mergeCell ref="AU34:AV34"/>
    <mergeCell ref="BH32:BI32"/>
    <mergeCell ref="BL21:BM21"/>
    <mergeCell ref="CC17:CD17"/>
    <mergeCell ref="BU31:BV31"/>
    <mergeCell ref="IH34:II34"/>
    <mergeCell ref="KF32:KG32"/>
    <mergeCell ref="AU16:AV16"/>
    <mergeCell ref="Z29:AA29"/>
    <mergeCell ref="Z23:AA23"/>
    <mergeCell ref="CT3:CU3"/>
    <mergeCell ref="AY5:AZ5"/>
    <mergeCell ref="GV16:GW16"/>
    <mergeCell ref="CC34:CD34"/>
    <mergeCell ref="CC28:CD28"/>
    <mergeCell ref="ID34:IE34"/>
    <mergeCell ref="JX3:JY3"/>
    <mergeCell ref="AH8:AI8"/>
    <mergeCell ref="BU9:BV9"/>
    <mergeCell ref="KJ1:KK1"/>
    <mergeCell ref="AQ34:AR34"/>
    <mergeCell ref="GV18:GW18"/>
    <mergeCell ref="DK8:DL8"/>
    <mergeCell ref="GA31:GB31"/>
    <mergeCell ref="HM30:HN30"/>
    <mergeCell ref="EW34:EX34"/>
    <mergeCell ref="LB24:LC24"/>
    <mergeCell ref="AH13:AI13"/>
    <mergeCell ref="BL23:BM23"/>
    <mergeCell ref="BD12:BE12"/>
    <mergeCell ref="AY20:AZ20"/>
    <mergeCell ref="KW30:KX30"/>
    <mergeCell ref="AY15:AZ15"/>
    <mergeCell ref="DC20:DD20"/>
    <mergeCell ref="EO27:EP27"/>
    <mergeCell ref="AH28:AI28"/>
    <mergeCell ref="JX1:JY1"/>
    <mergeCell ref="AH30:AI30"/>
    <mergeCell ref="DT34:DU34"/>
    <mergeCell ref="KJ19:KK19"/>
    <mergeCell ref="LB5:LC5"/>
    <mergeCell ref="JO26:JP26"/>
    <mergeCell ref="HM10:HN10"/>
    <mergeCell ref="GA3:GB3"/>
    <mergeCell ref="BY19:BZ19"/>
    <mergeCell ref="JS34:JT34"/>
    <mergeCell ref="CG28:CH28"/>
    <mergeCell ref="CL19:CM19"/>
    <mergeCell ref="FF34:FG34"/>
    <mergeCell ref="BH33:BI33"/>
    <mergeCell ref="FW16:FX16"/>
    <mergeCell ref="ES28:ET28"/>
    <mergeCell ref="LB18:LC18"/>
    <mergeCell ref="MB23:MC23"/>
    <mergeCell ref="OP19:OQ19"/>
    <mergeCell ref="FB27:FC27"/>
    <mergeCell ref="JK15:JL15"/>
    <mergeCell ref="OG26:OH26"/>
    <mergeCell ref="HQ1:HR1"/>
    <mergeCell ref="KF16:KG16"/>
    <mergeCell ref="MJ7:MK7"/>
    <mergeCell ref="CT12:CU12"/>
    <mergeCell ref="OV1:OV3"/>
    <mergeCell ref="OK25:OL25"/>
    <mergeCell ref="DK17:DL17"/>
    <mergeCell ref="OB27:OC27"/>
    <mergeCell ref="FN15:FO15"/>
    <mergeCell ref="JC1:JD1"/>
    <mergeCell ref="OG11:OH11"/>
    <mergeCell ref="OB15:OC15"/>
    <mergeCell ref="OP26:OQ26"/>
    <mergeCell ref="KJ4:KK4"/>
    <mergeCell ref="EW4:EX4"/>
    <mergeCell ref="OG13:OH13"/>
    <mergeCell ref="EB7:EC7"/>
    <mergeCell ref="MQ1:MR2"/>
    <mergeCell ref="IY5:IZ5"/>
    <mergeCell ref="OT6:OU6"/>
    <mergeCell ref="IY21:IZ21"/>
    <mergeCell ref="KN12:KO12"/>
    <mergeCell ref="NF13:NG13"/>
    <mergeCell ref="NF7:NG7"/>
    <mergeCell ref="OG23:OH23"/>
    <mergeCell ref="DC5:DD5"/>
    <mergeCell ref="AY33:AZ33"/>
    <mergeCell ref="HA22:HB22"/>
    <mergeCell ref="PD21:PE21"/>
    <mergeCell ref="AF1:AG2"/>
    <mergeCell ref="JX18:JY18"/>
    <mergeCell ref="AH23:AI23"/>
    <mergeCell ref="CL14:CM14"/>
    <mergeCell ref="OT32:OU32"/>
    <mergeCell ref="PB1:PC2"/>
    <mergeCell ref="HA7:HB7"/>
    <mergeCell ref="V1:W1"/>
    <mergeCell ref="LJ16:LK16"/>
    <mergeCell ref="CL7:CM7"/>
    <mergeCell ref="NB7:NC7"/>
    <mergeCell ref="DC19:DD19"/>
    <mergeCell ref="MO35:MP35"/>
    <mergeCell ref="MB10:MC10"/>
    <mergeCell ref="LJ18:LK18"/>
    <mergeCell ref="MS13:MT13"/>
    <mergeCell ref="LF34:LG34"/>
    <mergeCell ref="ID22:IE22"/>
    <mergeCell ref="FW22:FX22"/>
    <mergeCell ref="PD10:PE10"/>
    <mergeCell ref="LJ3:LK3"/>
    <mergeCell ref="KR17:KS17"/>
    <mergeCell ref="KR11:KS11"/>
    <mergeCell ref="LS26:LT26"/>
    <mergeCell ref="NO30:NP30"/>
    <mergeCell ref="IP31:IQ31"/>
    <mergeCell ref="DK21:DL21"/>
    <mergeCell ref="LJ5:LK5"/>
    <mergeCell ref="LZ1:MA2"/>
    <mergeCell ref="D25:E25"/>
    <mergeCell ref="DT32:DU32"/>
    <mergeCell ref="KF3:KG3"/>
    <mergeCell ref="HA33:HB33"/>
    <mergeCell ref="HI20:HJ20"/>
    <mergeCell ref="KW15:KX15"/>
    <mergeCell ref="CL33:CM33"/>
    <mergeCell ref="PI25:PJ25"/>
    <mergeCell ref="CL25:CM25"/>
    <mergeCell ref="NB25:NC25"/>
    <mergeCell ref="KF5:KG5"/>
    <mergeCell ref="HA35:HB35"/>
    <mergeCell ref="EK12:EL12"/>
    <mergeCell ref="KW8:KX8"/>
    <mergeCell ref="IT21:IU21"/>
    <mergeCell ref="V12:W12"/>
    <mergeCell ref="GA27:GB27"/>
    <mergeCell ref="M20:N20"/>
    <mergeCell ref="M22:N22"/>
    <mergeCell ref="MS28:MT28"/>
    <mergeCell ref="CT4:CU4"/>
    <mergeCell ref="ID7:IE7"/>
    <mergeCell ref="BY17:BZ17"/>
    <mergeCell ref="OK19:OL19"/>
    <mergeCell ref="FJ33:FK33"/>
    <mergeCell ref="V25:W25"/>
    <mergeCell ref="M4:N4"/>
    <mergeCell ref="HA20:HB20"/>
    <mergeCell ref="IV1:IV3"/>
    <mergeCell ref="JX16:JY16"/>
    <mergeCell ref="AH21:AI21"/>
    <mergeCell ref="M34:N34"/>
    <mergeCell ref="QG24:QH24"/>
    <mergeCell ref="ID4:IE4"/>
    <mergeCell ref="FW4:FX4"/>
    <mergeCell ref="IT23:IU23"/>
    <mergeCell ref="V14:W14"/>
    <mergeCell ref="DX33:DY33"/>
    <mergeCell ref="GR7:GS7"/>
    <mergeCell ref="LB13:LC13"/>
    <mergeCell ref="OK24:OL24"/>
    <mergeCell ref="JO34:JP34"/>
    <mergeCell ref="JO9:JP9"/>
    <mergeCell ref="OY31:OZ31"/>
    <mergeCell ref="KF21:KG21"/>
    <mergeCell ref="BH12:BI12"/>
    <mergeCell ref="DX35:DY35"/>
    <mergeCell ref="KN8:KO8"/>
    <mergeCell ref="EF22:EG22"/>
    <mergeCell ref="JK28:JL28"/>
    <mergeCell ref="LB15:LC15"/>
    <mergeCell ref="QG21:QH21"/>
    <mergeCell ref="OK26:OL26"/>
    <mergeCell ref="FF25:FG25"/>
    <mergeCell ref="ID35:IE35"/>
    <mergeCell ref="FN12:FO12"/>
    <mergeCell ref="BH14:BI14"/>
    <mergeCell ref="PW32:PX32"/>
    <mergeCell ref="JK30:JL30"/>
    <mergeCell ref="PR33:PS33"/>
    <mergeCell ref="FB35:FC35"/>
    <mergeCell ref="CL12:CM12"/>
    <mergeCell ref="NB12:NC12"/>
    <mergeCell ref="PR35:PS35"/>
    <mergeCell ref="PD1:PE1"/>
    <mergeCell ref="BP27:BQ27"/>
    <mergeCell ref="MF27:MG27"/>
    <mergeCell ref="CT22:CU22"/>
    <mergeCell ref="NJ22:NK22"/>
    <mergeCell ref="OY30:OZ30"/>
    <mergeCell ref="OG7:OH7"/>
    <mergeCell ref="BP23:BQ23"/>
    <mergeCell ref="DO17:DP17"/>
    <mergeCell ref="FW5:FX5"/>
    <mergeCell ref="DC3:DD3"/>
    <mergeCell ref="HA16:HB16"/>
    <mergeCell ref="JC25:JD25"/>
    <mergeCell ref="DC28:DD28"/>
    <mergeCell ref="FP1:FP3"/>
    <mergeCell ref="CP3:CQ3"/>
    <mergeCell ref="NB18:NC18"/>
    <mergeCell ref="KW27:KX27"/>
    <mergeCell ref="NJ5:NK5"/>
    <mergeCell ref="DC30:DD30"/>
    <mergeCell ref="OG6:OH6"/>
    <mergeCell ref="OB30:OC30"/>
    <mergeCell ref="PD5:PE5"/>
    <mergeCell ref="DI1:DJ2"/>
    <mergeCell ref="JG11:JH11"/>
    <mergeCell ref="DC1:DD1"/>
    <mergeCell ref="BU7:BV7"/>
    <mergeCell ref="OP25:OQ25"/>
    <mergeCell ref="KW13:KX13"/>
    <mergeCell ref="DX7:DY7"/>
    <mergeCell ref="OK6:OL6"/>
    <mergeCell ref="FJ14:FK14"/>
  </mergeCells>
  <conditionalFormatting sqref="A4:A35">
    <cfRule type="expression" dxfId="67" priority="188">
      <formula>B4="OK"</formula>
    </cfRule>
  </conditionalFormatting>
  <conditionalFormatting sqref="D4:E35 H4:I35">
    <cfRule type="cellIs" dxfId="66" priority="189" operator="equal">
      <formula>5</formula>
    </cfRule>
  </conditionalFormatting>
  <conditionalFormatting sqref="M4:N4 Q4:R4 M5 Q5">
    <cfRule type="cellIs" dxfId="65" priority="187" operator="equal">
      <formula>5</formula>
    </cfRule>
  </conditionalFormatting>
  <conditionalFormatting sqref="M6:N35 Q6:R35">
    <cfRule type="cellIs" dxfId="64" priority="185" operator="equal">
      <formula>5</formula>
    </cfRule>
  </conditionalFormatting>
  <conditionalFormatting sqref="V4:W35 Z4:AA35">
    <cfRule type="cellIs" dxfId="63" priority="182" operator="equal">
      <formula>5</formula>
    </cfRule>
  </conditionalFormatting>
  <conditionalFormatting sqref="AD4:AE35 AH4:AI35">
    <cfRule type="cellIs" dxfId="62" priority="179" operator="equal">
      <formula>5</formula>
    </cfRule>
  </conditionalFormatting>
  <conditionalFormatting sqref="AM4:AN35 AQ4:AR35">
    <cfRule type="cellIs" dxfId="61" priority="176" operator="equal">
      <formula>5</formula>
    </cfRule>
  </conditionalFormatting>
  <conditionalFormatting sqref="AU4:AV35 AY4:AZ35">
    <cfRule type="cellIs" dxfId="60" priority="173" operator="equal">
      <formula>5</formula>
    </cfRule>
  </conditionalFormatting>
  <conditionalFormatting sqref="BD4:BE35 BH4:BI35">
    <cfRule type="cellIs" dxfId="59" priority="170" operator="equal">
      <formula>5</formula>
    </cfRule>
  </conditionalFormatting>
  <conditionalFormatting sqref="BL4:BM35 BP4:BQ35">
    <cfRule type="cellIs" dxfId="58" priority="167" operator="equal">
      <formula>5</formula>
    </cfRule>
  </conditionalFormatting>
  <conditionalFormatting sqref="BU4:BV35 BY4:BZ35">
    <cfRule type="cellIs" dxfId="57" priority="164" operator="equal">
      <formula>5</formula>
    </cfRule>
  </conditionalFormatting>
  <conditionalFormatting sqref="CC4:CD35 CG4:CH35">
    <cfRule type="cellIs" dxfId="56" priority="161" operator="equal">
      <formula>5</formula>
    </cfRule>
  </conditionalFormatting>
  <conditionalFormatting sqref="CL4:CM35 CP4:CQ35">
    <cfRule type="cellIs" dxfId="55" priority="158" operator="equal">
      <formula>5</formula>
    </cfRule>
  </conditionalFormatting>
  <conditionalFormatting sqref="CT4:CU35 CX4:CY35">
    <cfRule type="cellIs" dxfId="54" priority="155" operator="equal">
      <formula>5</formula>
    </cfRule>
  </conditionalFormatting>
  <conditionalFormatting sqref="DC4:DD35 DG4:DH35">
    <cfRule type="cellIs" dxfId="53" priority="152" operator="equal">
      <formula>5</formula>
    </cfRule>
  </conditionalFormatting>
  <conditionalFormatting sqref="DK4:DL35 DO4:DP35">
    <cfRule type="cellIs" dxfId="52" priority="149" operator="equal">
      <formula>5</formula>
    </cfRule>
  </conditionalFormatting>
  <conditionalFormatting sqref="DT4:DU35 DX4:DY35">
    <cfRule type="cellIs" dxfId="51" priority="146" operator="equal">
      <formula>5</formula>
    </cfRule>
  </conditionalFormatting>
  <conditionalFormatting sqref="EB4:EC35 EF4:EG35">
    <cfRule type="cellIs" dxfId="50" priority="143" operator="equal">
      <formula>5</formula>
    </cfRule>
  </conditionalFormatting>
  <conditionalFormatting sqref="EK4:EL35 EO4:EP35">
    <cfRule type="cellIs" dxfId="49" priority="140" operator="equal">
      <formula>5</formula>
    </cfRule>
  </conditionalFormatting>
  <conditionalFormatting sqref="ES4:ET35 EW4:EX35">
    <cfRule type="cellIs" dxfId="48" priority="137" operator="equal">
      <formula>5</formula>
    </cfRule>
  </conditionalFormatting>
  <conditionalFormatting sqref="FB4:FC35 FF4:FG35">
    <cfRule type="cellIs" dxfId="47" priority="134" operator="equal">
      <formula>5</formula>
    </cfRule>
  </conditionalFormatting>
  <conditionalFormatting sqref="FJ4:FK35 FN4:FO35">
    <cfRule type="cellIs" dxfId="46" priority="131" operator="equal">
      <formula>5</formula>
    </cfRule>
  </conditionalFormatting>
  <conditionalFormatting sqref="FS4:FT35 FW4:FX35">
    <cfRule type="cellIs" dxfId="45" priority="128" operator="equal">
      <formula>5</formula>
    </cfRule>
  </conditionalFormatting>
  <conditionalFormatting sqref="GA4:GB35 GE4:GF35">
    <cfRule type="cellIs" dxfId="44" priority="125" operator="equal">
      <formula>5</formula>
    </cfRule>
  </conditionalFormatting>
  <conditionalFormatting sqref="GJ4:GK35 GN4:GO35">
    <cfRule type="cellIs" dxfId="43" priority="122" operator="equal">
      <formula>5</formula>
    </cfRule>
  </conditionalFormatting>
  <conditionalFormatting sqref="GR4:GS35 GV4:GW35">
    <cfRule type="cellIs" dxfId="42" priority="119" operator="equal">
      <formula>5</formula>
    </cfRule>
  </conditionalFormatting>
  <conditionalFormatting sqref="HA4:HB35 HE4:HF35">
    <cfRule type="cellIs" dxfId="41" priority="116" operator="equal">
      <formula>5</formula>
    </cfRule>
  </conditionalFormatting>
  <conditionalFormatting sqref="HI4:HJ35 HM4:HN35">
    <cfRule type="cellIs" dxfId="40" priority="113" operator="equal">
      <formula>5</formula>
    </cfRule>
  </conditionalFormatting>
  <conditionalFormatting sqref="HQ4:HR35 HU4:HV35">
    <cfRule type="cellIs" dxfId="39" priority="110" operator="equal">
      <formula>5</formula>
    </cfRule>
  </conditionalFormatting>
  <conditionalFormatting sqref="HZ4:IA35 ID4:IE35">
    <cfRule type="cellIs" dxfId="38" priority="107" operator="equal">
      <formula>5</formula>
    </cfRule>
  </conditionalFormatting>
  <conditionalFormatting sqref="IH4:II35 IL4:IM35">
    <cfRule type="cellIs" dxfId="37" priority="104" operator="equal">
      <formula>5</formula>
    </cfRule>
  </conditionalFormatting>
  <conditionalFormatting sqref="IP4:IQ35 IT4:IU35">
    <cfRule type="cellIs" dxfId="36" priority="101" operator="equal">
      <formula>5</formula>
    </cfRule>
  </conditionalFormatting>
  <conditionalFormatting sqref="IY4:IZ35 JC4:JD35">
    <cfRule type="cellIs" dxfId="35" priority="98" operator="equal">
      <formula>5</formula>
    </cfRule>
  </conditionalFormatting>
  <conditionalFormatting sqref="JG4:JH35 JK4:JL35">
    <cfRule type="cellIs" dxfId="34" priority="95" operator="equal">
      <formula>5</formula>
    </cfRule>
  </conditionalFormatting>
  <conditionalFormatting sqref="JO4:JP35 JS4:JT35">
    <cfRule type="cellIs" dxfId="33" priority="92" operator="equal">
      <formula>5</formula>
    </cfRule>
  </conditionalFormatting>
  <conditionalFormatting sqref="JX4:JY35 KB4:KC35">
    <cfRule type="cellIs" dxfId="32" priority="89" operator="equal">
      <formula>5</formula>
    </cfRule>
  </conditionalFormatting>
  <conditionalFormatting sqref="KF4:KG35 KJ4:KK35">
    <cfRule type="cellIs" dxfId="31" priority="86" operator="equal">
      <formula>5</formula>
    </cfRule>
  </conditionalFormatting>
  <conditionalFormatting sqref="KN4:KO35 KR4:KS35">
    <cfRule type="cellIs" dxfId="30" priority="83" operator="equal">
      <formula>5</formula>
    </cfRule>
  </conditionalFormatting>
  <conditionalFormatting sqref="KW4:KX35">
    <cfRule type="cellIs" dxfId="29" priority="80" operator="equal">
      <formula>5</formula>
    </cfRule>
  </conditionalFormatting>
  <conditionalFormatting sqref="LB4:LC35">
    <cfRule type="cellIs" dxfId="28" priority="77" operator="equal">
      <formula>5</formula>
    </cfRule>
  </conditionalFormatting>
  <conditionalFormatting sqref="LF4:LG35">
    <cfRule type="cellIs" dxfId="27" priority="74" operator="equal">
      <formula>5</formula>
    </cfRule>
  </conditionalFormatting>
  <conditionalFormatting sqref="LJ4:LK35">
    <cfRule type="cellIs" dxfId="26" priority="71" operator="equal">
      <formula>5</formula>
    </cfRule>
  </conditionalFormatting>
  <conditionalFormatting sqref="LO4:LP35">
    <cfRule type="cellIs" dxfId="25" priority="68" operator="equal">
      <formula>5</formula>
    </cfRule>
  </conditionalFormatting>
  <conditionalFormatting sqref="LS4:LT35">
    <cfRule type="cellIs" dxfId="24" priority="65" operator="equal">
      <formula>5</formula>
    </cfRule>
  </conditionalFormatting>
  <conditionalFormatting sqref="LW4:LX35">
    <cfRule type="cellIs" dxfId="23" priority="62" operator="equal">
      <formula>5</formula>
    </cfRule>
  </conditionalFormatting>
  <conditionalFormatting sqref="MB4:MC35">
    <cfRule type="cellIs" dxfId="22" priority="59" operator="equal">
      <formula>5</formula>
    </cfRule>
  </conditionalFormatting>
  <conditionalFormatting sqref="MF4:MG35">
    <cfRule type="cellIs" dxfId="21" priority="56" operator="equal">
      <formula>5</formula>
    </cfRule>
  </conditionalFormatting>
  <conditionalFormatting sqref="MJ4:MK35">
    <cfRule type="cellIs" dxfId="20" priority="53" operator="equal">
      <formula>5</formula>
    </cfRule>
  </conditionalFormatting>
  <conditionalFormatting sqref="MO4:MP35">
    <cfRule type="cellIs" dxfId="19" priority="50" operator="equal">
      <formula>5</formula>
    </cfRule>
  </conditionalFormatting>
  <conditionalFormatting sqref="MS4:MT35">
    <cfRule type="cellIs" dxfId="18" priority="47" operator="equal">
      <formula>5</formula>
    </cfRule>
  </conditionalFormatting>
  <conditionalFormatting sqref="MW4:MX35">
    <cfRule type="cellIs" dxfId="17" priority="44" operator="equal">
      <formula>5</formula>
    </cfRule>
  </conditionalFormatting>
  <conditionalFormatting sqref="NB4:NC35">
    <cfRule type="cellIs" dxfId="16" priority="41" operator="equal">
      <formula>5</formula>
    </cfRule>
  </conditionalFormatting>
  <conditionalFormatting sqref="NF4:NG35">
    <cfRule type="cellIs" dxfId="15" priority="38" operator="equal">
      <formula>5</formula>
    </cfRule>
  </conditionalFormatting>
  <conditionalFormatting sqref="NJ4:NK35">
    <cfRule type="cellIs" dxfId="14" priority="35" operator="equal">
      <formula>5</formula>
    </cfRule>
  </conditionalFormatting>
  <conditionalFormatting sqref="NO4:NP35 NS4:NT35">
    <cfRule type="cellIs" dxfId="13" priority="32" operator="equal">
      <formula>5</formula>
    </cfRule>
  </conditionalFormatting>
  <conditionalFormatting sqref="NX4:NY35 OB4:OC35">
    <cfRule type="cellIs" dxfId="12" priority="29" operator="equal">
      <formula>5</formula>
    </cfRule>
  </conditionalFormatting>
  <conditionalFormatting sqref="OG4:OH35 OK4:OL35">
    <cfRule type="cellIs" dxfId="11" priority="26" operator="equal">
      <formula>5</formula>
    </cfRule>
  </conditionalFormatting>
  <conditionalFormatting sqref="OP4:OQ35 OT4:OU35">
    <cfRule type="cellIs" dxfId="10" priority="23" operator="equal">
      <formula>5</formula>
    </cfRule>
  </conditionalFormatting>
  <conditionalFormatting sqref="OY4:OZ35">
    <cfRule type="cellIs" dxfId="9" priority="20" operator="equal">
      <formula>5</formula>
    </cfRule>
  </conditionalFormatting>
  <conditionalFormatting sqref="PD4:PE35">
    <cfRule type="cellIs" dxfId="8" priority="17" operator="equal">
      <formula>5</formula>
    </cfRule>
  </conditionalFormatting>
  <conditionalFormatting sqref="PI4:PJ35 PM4:PN35">
    <cfRule type="cellIs" dxfId="7" priority="14" operator="equal">
      <formula>5</formula>
    </cfRule>
  </conditionalFormatting>
  <conditionalFormatting sqref="PR4:PS35">
    <cfRule type="cellIs" dxfId="6" priority="11" operator="equal">
      <formula>5</formula>
    </cfRule>
  </conditionalFormatting>
  <conditionalFormatting sqref="PW4:PX35">
    <cfRule type="cellIs" dxfId="5" priority="8" operator="equal">
      <formula>5</formula>
    </cfRule>
  </conditionalFormatting>
  <conditionalFormatting sqref="QB4:QC35">
    <cfRule type="cellIs" dxfId="4" priority="5" operator="equal">
      <formula>5</formula>
    </cfRule>
  </conditionalFormatting>
  <conditionalFormatting sqref="QG4:QH35">
    <cfRule type="cellIs" dxfId="3" priority="2" operator="equal">
      <formula>5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2:L35"/>
  <sheetViews>
    <sheetView tabSelected="1" zoomScale="70" zoomScaleNormal="70" workbookViewId="0">
      <selection activeCell="P22" sqref="P22"/>
    </sheetView>
  </sheetViews>
  <sheetFormatPr baseColWidth="10" defaultColWidth="10.5546875" defaultRowHeight="14.4" x14ac:dyDescent="0.3"/>
  <cols>
    <col min="5" max="5" width="16.44140625" customWidth="1"/>
    <col min="11" max="11" width="16.44140625" customWidth="1"/>
  </cols>
  <sheetData>
    <row r="2" spans="4:12" ht="14.25" customHeight="1" x14ac:dyDescent="0.3">
      <c r="D2" s="36" t="s">
        <v>120</v>
      </c>
      <c r="E2" s="37"/>
      <c r="F2" s="23"/>
      <c r="J2" s="36" t="s">
        <v>120</v>
      </c>
      <c r="K2" s="37"/>
      <c r="L2" s="23"/>
    </row>
    <row r="3" spans="4:12" ht="14.25" customHeight="1" x14ac:dyDescent="0.3">
      <c r="D3" s="11" t="s">
        <v>121</v>
      </c>
      <c r="E3" s="11" t="s">
        <v>0</v>
      </c>
      <c r="F3" s="11" t="s">
        <v>116</v>
      </c>
      <c r="J3" s="11" t="s">
        <v>121</v>
      </c>
      <c r="K3" s="11" t="s">
        <v>0</v>
      </c>
      <c r="L3" s="11" t="s">
        <v>116</v>
      </c>
    </row>
    <row r="4" spans="4:12" ht="14.25" customHeight="1" x14ac:dyDescent="0.3">
      <c r="D4" s="12">
        <v>1</v>
      </c>
      <c r="E4" s="5" t="s">
        <v>2</v>
      </c>
      <c r="F4" s="2">
        <f>RESULTADOS!J4+RESULTADOS!S4+RESULTADOS!AJ4+RESULTADOS!BA4+RESULTADOS!BR4+RESULTADOS!CI4+RESULTADOS!CZ4+RESULTADOS!DQ4+RESULTADOS!EH4+RESULTADOS!EY4+RESULTADOS!FP4+RESULTADOS!GG4+RESULTADOS!GX4+RESULTADOS!HW4+RESULTADOS!IV4+RESULTADOS!JU4+RESULTADOS!KT4+RESULTADOS!KY4+RESULTADOS!LL4+RESULTADOS!LY4+RESULTADOS!ML4+RESULTADOS!MY4+RESULTADOS!NL4+RESULTADOS!NU4+RESULTADOS!OD4+RESULTADOS!OM4+RESULTADOS!OV4+RESULTADOS!PA4+RESULTADOS!PF4+RESULTADOS!PO4+RESULTADOS!PT4+RESULTADOS!PY4+RESULTADOS!QD4+RESULTADOS!QI4</f>
        <v>79</v>
      </c>
      <c r="J4" s="12">
        <v>1</v>
      </c>
      <c r="K4" s="5" t="str">
        <f t="array" ref="K4:L35">_xlfn.SORTBY(E4:F35,F4:F35,-1)</f>
        <v>Juan Naranjo</v>
      </c>
      <c r="L4" s="2">
        <v>94</v>
      </c>
    </row>
    <row r="5" spans="4:12" ht="14.25" customHeight="1" x14ac:dyDescent="0.3">
      <c r="D5" s="13">
        <v>2</v>
      </c>
      <c r="E5" s="5" t="s">
        <v>4</v>
      </c>
      <c r="F5" s="2">
        <f>RESULTADOS!J5+RESULTADOS!S5+RESULTADOS!AJ5+RESULTADOS!BA5+RESULTADOS!BR5+RESULTADOS!CI5+RESULTADOS!CZ5+RESULTADOS!DQ5+RESULTADOS!EH5+RESULTADOS!EY5+RESULTADOS!FP5+RESULTADOS!GG5+RESULTADOS!GX5+RESULTADOS!HW5+RESULTADOS!IV5+RESULTADOS!JU5+RESULTADOS!KT5+RESULTADOS!KY5+RESULTADOS!LL5+RESULTADOS!LY5+RESULTADOS!ML5+RESULTADOS!MY5+RESULTADOS!NL5+RESULTADOS!NU5+RESULTADOS!OD5+RESULTADOS!OM5+RESULTADOS!OV5+RESULTADOS!PA5+RESULTADOS!PF5+RESULTADOS!PO5+RESULTADOS!PT5+RESULTADOS!PY5+RESULTADOS!QD5+RESULTADOS!QI5</f>
        <v>78</v>
      </c>
      <c r="J5" s="13">
        <v>2</v>
      </c>
      <c r="K5" s="5" t="str">
        <v>Abraham Ramirez</v>
      </c>
      <c r="L5" s="2">
        <v>93</v>
      </c>
    </row>
    <row r="6" spans="4:12" ht="14.25" customHeight="1" x14ac:dyDescent="0.3">
      <c r="D6" s="14">
        <v>3</v>
      </c>
      <c r="E6" s="5" t="s">
        <v>5</v>
      </c>
      <c r="F6" s="2">
        <f>RESULTADOS!J6+RESULTADOS!S6+RESULTADOS!AJ6+RESULTADOS!BA6+RESULTADOS!BR6+RESULTADOS!CI6+RESULTADOS!CZ6+RESULTADOS!DQ6+RESULTADOS!EH6+RESULTADOS!EY6+RESULTADOS!FP6+RESULTADOS!GG6+RESULTADOS!GX6+RESULTADOS!HW6+RESULTADOS!IV6+RESULTADOS!JU6+RESULTADOS!KT6+RESULTADOS!KY6+RESULTADOS!LL6+RESULTADOS!LY6+RESULTADOS!ML6+RESULTADOS!MY6+RESULTADOS!NL6+RESULTADOS!NU6+RESULTADOS!OD6+RESULTADOS!OM6+RESULTADOS!OV6+RESULTADOS!PA6+RESULTADOS!PF6+RESULTADOS!PO6+RESULTADOS!PT6+RESULTADOS!PY6+RESULTADOS!QD6+RESULTADOS!QI6</f>
        <v>72</v>
      </c>
      <c r="J6" s="14">
        <v>3</v>
      </c>
      <c r="K6" s="5" t="str">
        <v>Fredy Letrado</v>
      </c>
      <c r="L6" s="2">
        <v>93</v>
      </c>
    </row>
    <row r="7" spans="4:12" ht="14.25" customHeight="1" x14ac:dyDescent="0.3">
      <c r="D7" s="15">
        <v>4</v>
      </c>
      <c r="E7" s="5" t="s">
        <v>6</v>
      </c>
      <c r="F7" s="2">
        <f>RESULTADOS!J7+RESULTADOS!S7+RESULTADOS!AJ7+RESULTADOS!BA7+RESULTADOS!BR7+RESULTADOS!CI7+RESULTADOS!CZ7+RESULTADOS!DQ7+RESULTADOS!EH7+RESULTADOS!EY7+RESULTADOS!FP7+RESULTADOS!GG7+RESULTADOS!GX7+RESULTADOS!HW7+RESULTADOS!IV7+RESULTADOS!JU7+RESULTADOS!KT7+RESULTADOS!KY7+RESULTADOS!LL7+RESULTADOS!LY7+RESULTADOS!ML7+RESULTADOS!MY7+RESULTADOS!NL7+RESULTADOS!NU7+RESULTADOS!OD7+RESULTADOS!OM7+RESULTADOS!OV7+RESULTADOS!PA7+RESULTADOS!PF7+RESULTADOS!PO7+RESULTADOS!PT7+RESULTADOS!PY7+RESULTADOS!QD7+RESULTADOS!QI7</f>
        <v>67.5</v>
      </c>
      <c r="J7" s="15">
        <v>4</v>
      </c>
      <c r="K7" s="5" t="str">
        <v>Monica Marin</v>
      </c>
      <c r="L7" s="2">
        <v>92</v>
      </c>
    </row>
    <row r="8" spans="4:12" ht="14.25" customHeight="1" x14ac:dyDescent="0.3">
      <c r="D8" s="16">
        <v>5</v>
      </c>
      <c r="E8" s="5" t="s">
        <v>119</v>
      </c>
      <c r="F8" s="2">
        <f>RESULTADOS!J8+RESULTADOS!S8+RESULTADOS!AJ8+RESULTADOS!BA8+RESULTADOS!BR8+RESULTADOS!CI8+RESULTADOS!CZ8+RESULTADOS!DQ8+RESULTADOS!EH8+RESULTADOS!EY8+RESULTADOS!FP8+RESULTADOS!GG8+RESULTADOS!GX8+RESULTADOS!HW8+RESULTADOS!IV8+RESULTADOS!JU8+RESULTADOS!KT8+RESULTADOS!KY8+RESULTADOS!LL8+RESULTADOS!LY8+RESULTADOS!ML8+RESULTADOS!MY8+RESULTADOS!NL8+RESULTADOS!NU8+RESULTADOS!OD8+RESULTADOS!OM8+RESULTADOS!OV8+RESULTADOS!PA8+RESULTADOS!PF8+RESULTADOS!PO8+RESULTADOS!PT8+RESULTADOS!PY8+RESULTADOS!QD8+RESULTADOS!QI8</f>
        <v>85</v>
      </c>
      <c r="J8" s="16">
        <v>5</v>
      </c>
      <c r="K8" s="5" t="str">
        <v>Sneyder Bonilla</v>
      </c>
      <c r="L8" s="2">
        <v>92</v>
      </c>
    </row>
    <row r="9" spans="4:12" ht="14.25" customHeight="1" x14ac:dyDescent="0.3">
      <c r="D9" s="17">
        <v>6</v>
      </c>
      <c r="E9" s="5" t="s">
        <v>8</v>
      </c>
      <c r="F9" s="2">
        <f>RESULTADOS!J9+RESULTADOS!S9+RESULTADOS!AJ9+RESULTADOS!BA9+RESULTADOS!BR9+RESULTADOS!CI9+RESULTADOS!CZ9+RESULTADOS!DQ9+RESULTADOS!EH9+RESULTADOS!EY9+RESULTADOS!FP9+RESULTADOS!GG9+RESULTADOS!GX9+RESULTADOS!HW9+RESULTADOS!IV9+RESULTADOS!JU9+RESULTADOS!KT9+RESULTADOS!KY9+RESULTADOS!LL9+RESULTADOS!LY9+RESULTADOS!ML9+RESULTADOS!MY9+RESULTADOS!NL9+RESULTADOS!NU9+RESULTADOS!OD9+RESULTADOS!OM9+RESULTADOS!OV9+RESULTADOS!PA9+RESULTADOS!PF9+RESULTADOS!PO9+RESULTADOS!PT9+RESULTADOS!PY9+RESULTADOS!QD9+RESULTADOS!QI9</f>
        <v>80</v>
      </c>
      <c r="J9" s="17">
        <v>6</v>
      </c>
      <c r="K9" s="5" t="str">
        <v>Esmeralda Rueda</v>
      </c>
      <c r="L9" s="2">
        <v>89</v>
      </c>
    </row>
    <row r="10" spans="4:12" ht="14.25" customHeight="1" x14ac:dyDescent="0.3">
      <c r="D10" s="17">
        <v>7</v>
      </c>
      <c r="E10" s="5" t="s">
        <v>9</v>
      </c>
      <c r="F10" s="2">
        <f>RESULTADOS!J10+RESULTADOS!S10+RESULTADOS!AJ10+RESULTADOS!BA10+RESULTADOS!BR10+RESULTADOS!CI10+RESULTADOS!CZ10+RESULTADOS!DQ10+RESULTADOS!EH10+RESULTADOS!EY10+RESULTADOS!FP10+RESULTADOS!GG10+RESULTADOS!GX10+RESULTADOS!HW10+RESULTADOS!IV10+RESULTADOS!JU10+RESULTADOS!KT10+RESULTADOS!KY10+RESULTADOS!LL10+RESULTADOS!LY10+RESULTADOS!ML10+RESULTADOS!MY10+RESULTADOS!NL10+RESULTADOS!NU10+RESULTADOS!OD10+RESULTADOS!OM10+RESULTADOS!OV10+RESULTADOS!PA10+RESULTADOS!PF10+RESULTADOS!PO10+RESULTADOS!PT10+RESULTADOS!PY10+RESULTADOS!QD10+RESULTADOS!QI10</f>
        <v>92</v>
      </c>
      <c r="J10" s="17">
        <v>7</v>
      </c>
      <c r="K10" s="5" t="str">
        <v>Mateo Salamanca</v>
      </c>
      <c r="L10" s="2">
        <v>88</v>
      </c>
    </row>
    <row r="11" spans="4:12" ht="14.25" customHeight="1" x14ac:dyDescent="0.3">
      <c r="D11" s="17">
        <v>8</v>
      </c>
      <c r="E11" s="5" t="s">
        <v>10</v>
      </c>
      <c r="F11" s="2">
        <f>RESULTADOS!J11+RESULTADOS!S11+RESULTADOS!AJ11+RESULTADOS!BA11+RESULTADOS!BR11+RESULTADOS!CI11+RESULTADOS!CZ11+RESULTADOS!DQ11+RESULTADOS!EH11+RESULTADOS!EY11+RESULTADOS!FP11+RESULTADOS!GG11+RESULTADOS!GX11+RESULTADOS!HW11+RESULTADOS!IV11+RESULTADOS!JU11+RESULTADOS!KT11+RESULTADOS!KY11+RESULTADOS!LL11+RESULTADOS!LY11+RESULTADOS!ML11+RESULTADOS!MY11+RESULTADOS!NL11+RESULTADOS!NU11+RESULTADOS!OD11+RESULTADOS!OM11+RESULTADOS!OV11+RESULTADOS!PA11+RESULTADOS!PF11+RESULTADOS!PO11+RESULTADOS!PT11+RESULTADOS!PY11+RESULTADOS!QD11+RESULTADOS!QI11</f>
        <v>72</v>
      </c>
      <c r="J11" s="17">
        <v>8</v>
      </c>
      <c r="K11" s="5" t="str">
        <v>Nicolas Letrado</v>
      </c>
      <c r="L11" s="2">
        <v>88</v>
      </c>
    </row>
    <row r="12" spans="4:12" ht="14.25" customHeight="1" x14ac:dyDescent="0.3">
      <c r="D12" s="17">
        <v>9</v>
      </c>
      <c r="E12" s="5" t="s">
        <v>11</v>
      </c>
      <c r="F12" s="2">
        <f>RESULTADOS!J12+RESULTADOS!S12+RESULTADOS!AJ12+RESULTADOS!BA12+RESULTADOS!BR12+RESULTADOS!CI12+RESULTADOS!CZ12+RESULTADOS!DQ12+RESULTADOS!EH12+RESULTADOS!EY12+RESULTADOS!FP12+RESULTADOS!GG12+RESULTADOS!GX12+RESULTADOS!HW12+RESULTADOS!IV12+RESULTADOS!JU12+RESULTADOS!KT12+RESULTADOS!KY12+RESULTADOS!LL12+RESULTADOS!LY12+RESULTADOS!ML12+RESULTADOS!MY12+RESULTADOS!NL12+RESULTADOS!NU12+RESULTADOS!OD12+RESULTADOS!OM12+RESULTADOS!OV12+RESULTADOS!PA12+RESULTADOS!PF12+RESULTADOS!PO12+RESULTADOS!PT12+RESULTADOS!PY12+RESULTADOS!QD12+RESULTADOS!QI12</f>
        <v>82</v>
      </c>
      <c r="J12" s="17">
        <v>9</v>
      </c>
      <c r="K12" s="5" t="str">
        <v>Oscar Letrado</v>
      </c>
      <c r="L12" s="2">
        <v>87</v>
      </c>
    </row>
    <row r="13" spans="4:12" ht="14.25" customHeight="1" x14ac:dyDescent="0.3">
      <c r="D13" s="17">
        <v>10</v>
      </c>
      <c r="E13" s="5" t="s">
        <v>12</v>
      </c>
      <c r="F13" s="2">
        <f>RESULTADOS!J13+RESULTADOS!S13+RESULTADOS!AJ13+RESULTADOS!BA13+RESULTADOS!BR13+RESULTADOS!CI13+RESULTADOS!CZ13+RESULTADOS!DQ13+RESULTADOS!EH13+RESULTADOS!EY13+RESULTADOS!FP13+RESULTADOS!GG13+RESULTADOS!GX13+RESULTADOS!HW13+RESULTADOS!IV13+RESULTADOS!JU13+RESULTADOS!KT13+RESULTADOS!KY13+RESULTADOS!LL13+RESULTADOS!LY13+RESULTADOS!ML13+RESULTADOS!MY13+RESULTADOS!NL13+RESULTADOS!NU13+RESULTADOS!OD13+RESULTADOS!OM13+RESULTADOS!OV13+RESULTADOS!PA13+RESULTADOS!PF13+RESULTADOS!PO13+RESULTADOS!PT13+RESULTADOS!PY13+RESULTADOS!QD13+RESULTADOS!QI13</f>
        <v>88</v>
      </c>
      <c r="J13" s="17">
        <v>10</v>
      </c>
      <c r="K13" s="5" t="str">
        <v>Dilan Buitrago</v>
      </c>
      <c r="L13" s="2">
        <v>87</v>
      </c>
    </row>
    <row r="14" spans="4:12" ht="14.25" customHeight="1" x14ac:dyDescent="0.3">
      <c r="D14" s="17">
        <v>11</v>
      </c>
      <c r="E14" s="5" t="s">
        <v>13</v>
      </c>
      <c r="F14" s="2">
        <f>RESULTADOS!J14+RESULTADOS!S14+RESULTADOS!AJ14+RESULTADOS!BA14+RESULTADOS!BR14+RESULTADOS!CI14+RESULTADOS!CZ14+RESULTADOS!DQ14+RESULTADOS!EH14+RESULTADOS!EY14+RESULTADOS!FP14+RESULTADOS!GG14+RESULTADOS!GX14+RESULTADOS!HW14+RESULTADOS!IV14+RESULTADOS!JU14+RESULTADOS!KT14+RESULTADOS!KY14+RESULTADOS!LL14+RESULTADOS!LY14+RESULTADOS!ML14+RESULTADOS!MY14+RESULTADOS!NL14+RESULTADOS!NU14+RESULTADOS!OD14+RESULTADOS!OM14+RESULTADOS!OV14+RESULTADOS!PA14+RESULTADOS!PF14+RESULTADOS!PO14+RESULTADOS!PT14+RESULTADOS!PY14+RESULTADOS!QD14+RESULTADOS!QI14</f>
        <v>89</v>
      </c>
      <c r="J14" s="17">
        <v>11</v>
      </c>
      <c r="K14" s="5" t="str">
        <v>Mariana Letrado</v>
      </c>
      <c r="L14" s="2">
        <v>86</v>
      </c>
    </row>
    <row r="15" spans="4:12" ht="14.25" customHeight="1" x14ac:dyDescent="0.3">
      <c r="D15" s="17">
        <v>12</v>
      </c>
      <c r="E15" s="5" t="s">
        <v>14</v>
      </c>
      <c r="F15" s="2">
        <f>RESULTADOS!J15+RESULTADOS!S15+RESULTADOS!AJ15+RESULTADOS!BA15+RESULTADOS!BR15+RESULTADOS!CI15+RESULTADOS!CZ15+RESULTADOS!DQ15+RESULTADOS!EH15+RESULTADOS!EY15+RESULTADOS!FP15+RESULTADOS!GG15+RESULTADOS!GX15+RESULTADOS!HW15+RESULTADOS!IV15+RESULTADOS!JU15+RESULTADOS!KT15+RESULTADOS!KY15+RESULTADOS!LL15+RESULTADOS!LY15+RESULTADOS!ML15+RESULTADOS!MY15+RESULTADOS!NL15+RESULTADOS!NU15+RESULTADOS!OD15+RESULTADOS!OM15+RESULTADOS!OV15+RESULTADOS!PA15+RESULTADOS!PF15+RESULTADOS!PO15+RESULTADOS!PT15+RESULTADOS!PY15+RESULTADOS!QD15+RESULTADOS!QI15</f>
        <v>79</v>
      </c>
      <c r="J15" s="17">
        <v>12</v>
      </c>
      <c r="K15" s="5" t="str">
        <v>Cristian Godoy</v>
      </c>
      <c r="L15" s="2">
        <v>85.5</v>
      </c>
    </row>
    <row r="16" spans="4:12" ht="14.25" customHeight="1" x14ac:dyDescent="0.3">
      <c r="D16" s="17">
        <v>13</v>
      </c>
      <c r="E16" s="5" t="s">
        <v>15</v>
      </c>
      <c r="F16" s="2">
        <f>RESULTADOS!J16+RESULTADOS!S16+RESULTADOS!AJ16+RESULTADOS!BA16+RESULTADOS!BR16+RESULTADOS!CI16+RESULTADOS!CZ16+RESULTADOS!DQ16+RESULTADOS!EH16+RESULTADOS!EY16+RESULTADOS!FP16+RESULTADOS!GG16+RESULTADOS!GX16+RESULTADOS!HW16+RESULTADOS!IV16+RESULTADOS!JU16+RESULTADOS!KT16+RESULTADOS!KY16+RESULTADOS!LL16+RESULTADOS!LY16+RESULTADOS!ML16+RESULTADOS!MY16+RESULTADOS!NL16+RESULTADOS!NU16+RESULTADOS!OD16+RESULTADOS!OM16+RESULTADOS!OV16+RESULTADOS!PA16+RESULTADOS!PF16+RESULTADOS!PO16+RESULTADOS!PT16+RESULTADOS!PY16+RESULTADOS!QD16+RESULTADOS!QI16</f>
        <v>79</v>
      </c>
      <c r="J16" s="17">
        <v>13</v>
      </c>
      <c r="K16" s="5" t="str">
        <v>Edward Rios</v>
      </c>
      <c r="L16" s="2">
        <v>85</v>
      </c>
    </row>
    <row r="17" spans="4:12" ht="14.25" customHeight="1" x14ac:dyDescent="0.3">
      <c r="D17" s="17">
        <v>14</v>
      </c>
      <c r="E17" s="5" t="s">
        <v>16</v>
      </c>
      <c r="F17" s="2">
        <f>RESULTADOS!J17+RESULTADOS!S17+RESULTADOS!AJ17+RESULTADOS!BA17+RESULTADOS!BR17+RESULTADOS!CI17+RESULTADOS!CZ17+RESULTADOS!DQ17+RESULTADOS!EH17+RESULTADOS!EY17+RESULTADOS!FP17+RESULTADOS!GG17+RESULTADOS!GX17+RESULTADOS!HW17+RESULTADOS!IV17+RESULTADOS!JU17+RESULTADOS!KT17+RESULTADOS!KY17+RESULTADOS!LL17+RESULTADOS!LY17+RESULTADOS!ML17+RESULTADOS!MY17+RESULTADOS!NL17+RESULTADOS!NU17+RESULTADOS!OD17+RESULTADOS!OM17+RESULTADOS!OV17+RESULTADOS!PA17+RESULTADOS!PF17+RESULTADOS!PO17+RESULTADOS!PT17+RESULTADOS!PY17+RESULTADOS!QD17+RESULTADOS!QI17</f>
        <v>78</v>
      </c>
      <c r="J17" s="17">
        <v>14</v>
      </c>
      <c r="K17" s="5" t="str">
        <v>Yury Romero</v>
      </c>
      <c r="L17" s="2">
        <v>85</v>
      </c>
    </row>
    <row r="18" spans="4:12" ht="14.25" customHeight="1" x14ac:dyDescent="0.3">
      <c r="D18" s="17">
        <v>15</v>
      </c>
      <c r="E18" s="5" t="s">
        <v>17</v>
      </c>
      <c r="F18" s="2">
        <f>RESULTADOS!J18+RESULTADOS!S18+RESULTADOS!AJ18+RESULTADOS!BA18+RESULTADOS!BR18+RESULTADOS!CI18+RESULTADOS!CZ18+RESULTADOS!DQ18+RESULTADOS!EH18+RESULTADOS!EY18+RESULTADOS!FP18+RESULTADOS!GG18+RESULTADOS!GX18+RESULTADOS!HW18+RESULTADOS!IV18+RESULTADOS!JU18+RESULTADOS!KT18+RESULTADOS!KY18+RESULTADOS!LL18+RESULTADOS!LY18+RESULTADOS!ML18+RESULTADOS!MY18+RESULTADOS!NL18+RESULTADOS!NU18+RESULTADOS!OD18+RESULTADOS!OM18+RESULTADOS!OV18+RESULTADOS!PA18+RESULTADOS!PF18+RESULTADOS!PO18+RESULTADOS!PT18+RESULTADOS!PY18+RESULTADOS!QD18+RESULTADOS!QI18</f>
        <v>85.5</v>
      </c>
      <c r="J18" s="17">
        <v>15</v>
      </c>
      <c r="K18" s="5" t="str">
        <v>Peter Letrado</v>
      </c>
      <c r="L18" s="2">
        <v>83</v>
      </c>
    </row>
    <row r="19" spans="4:12" ht="14.25" customHeight="1" x14ac:dyDescent="0.3">
      <c r="D19" s="17">
        <v>16</v>
      </c>
      <c r="E19" s="5" t="s">
        <v>18</v>
      </c>
      <c r="F19" s="2">
        <f>RESULTADOS!J19+RESULTADOS!S19+RESULTADOS!AJ19+RESULTADOS!BA19+RESULTADOS!BR19+RESULTADOS!CI19+RESULTADOS!CZ19+RESULTADOS!DQ19+RESULTADOS!EH19+RESULTADOS!EY19+RESULTADOS!FP19+RESULTADOS!GG19+RESULTADOS!GX19+RESULTADOS!HW19+RESULTADOS!IV19+RESULTADOS!JU19+RESULTADOS!KT19+RESULTADOS!KY19+RESULTADOS!LL19+RESULTADOS!LY19+RESULTADOS!ML19+RESULTADOS!MY19+RESULTADOS!NL19+RESULTADOS!NU19+RESULTADOS!OD19+RESULTADOS!OM19+RESULTADOS!OV19+RESULTADOS!PA19+RESULTADOS!PF19+RESULTADOS!PO19+RESULTADOS!PT19+RESULTADOS!PY19+RESULTADOS!QD19+RESULTADOS!QI19</f>
        <v>83</v>
      </c>
      <c r="J19" s="17">
        <v>16</v>
      </c>
      <c r="K19" s="5" t="str">
        <v>Juan Merchan</v>
      </c>
      <c r="L19" s="2">
        <v>83</v>
      </c>
    </row>
    <row r="20" spans="4:12" ht="14.25" customHeight="1" x14ac:dyDescent="0.3">
      <c r="D20" s="17">
        <v>17</v>
      </c>
      <c r="E20" s="5" t="s">
        <v>19</v>
      </c>
      <c r="F20" s="2">
        <f>RESULTADOS!J20+RESULTADOS!S20+RESULTADOS!AJ20+RESULTADOS!BA20+RESULTADOS!BR20+RESULTADOS!CI20+RESULTADOS!CZ20+RESULTADOS!DQ20+RESULTADOS!EH20+RESULTADOS!EY20+RESULTADOS!FP20+RESULTADOS!GG20+RESULTADOS!GX20+RESULTADOS!HW20+RESULTADOS!IV20+RESULTADOS!JU20+RESULTADOS!KT20+RESULTADOS!KY20+RESULTADOS!LL20+RESULTADOS!LY20+RESULTADOS!ML20+RESULTADOS!MY20+RESULTADOS!NL20+RESULTADOS!NU20+RESULTADOS!OD20+RESULTADOS!OM20+RESULTADOS!OV20+RESULTADOS!PA20+RESULTADOS!PF20+RESULTADOS!PO20+RESULTADOS!PT20+RESULTADOS!PY20+RESULTADOS!QD20+RESULTADOS!QI20</f>
        <v>88</v>
      </c>
      <c r="J20" s="17">
        <v>17</v>
      </c>
      <c r="K20" s="5" t="str">
        <v>Kevin Ravelo</v>
      </c>
      <c r="L20" s="2">
        <v>82</v>
      </c>
    </row>
    <row r="21" spans="4:12" ht="14.25" customHeight="1" x14ac:dyDescent="0.3">
      <c r="D21" s="17">
        <v>18</v>
      </c>
      <c r="E21" s="5" t="s">
        <v>20</v>
      </c>
      <c r="F21" s="2">
        <f>RESULTADOS!J21+RESULTADOS!S21+RESULTADOS!AJ21+RESULTADOS!BA21+RESULTADOS!BR21+RESULTADOS!CI21+RESULTADOS!CZ21+RESULTADOS!DQ21+RESULTADOS!EH21+RESULTADOS!EY21+RESULTADOS!FP21+RESULTADOS!GG21+RESULTADOS!GX21+RESULTADOS!HW21+RESULTADOS!IV21+RESULTADOS!JU21+RESULTADOS!KT21+RESULTADOS!KY21+RESULTADOS!LL21+RESULTADOS!LY21+RESULTADOS!ML21+RESULTADOS!MY21+RESULTADOS!NL21+RESULTADOS!NU21+RESULTADOS!OD21+RESULTADOS!OM21+RESULTADOS!OV21+RESULTADOS!PA21+RESULTADOS!PF21+RESULTADOS!PO21+RESULTADOS!PT21+RESULTADOS!PY21+RESULTADOS!QD21+RESULTADOS!QI21</f>
        <v>76.5</v>
      </c>
      <c r="J21" s="17">
        <v>18</v>
      </c>
      <c r="K21" s="5" t="str">
        <v>Karen Vargas</v>
      </c>
      <c r="L21" s="2">
        <v>80</v>
      </c>
    </row>
    <row r="22" spans="4:12" ht="14.25" customHeight="1" x14ac:dyDescent="0.3">
      <c r="D22" s="17">
        <v>19</v>
      </c>
      <c r="E22" s="5" t="s">
        <v>21</v>
      </c>
      <c r="F22" s="2">
        <f>RESULTADOS!J22+RESULTADOS!S22+RESULTADOS!AJ22+RESULTADOS!BA22+RESULTADOS!BR22+RESULTADOS!CI22+RESULTADOS!CZ22+RESULTADOS!DQ22+RESULTADOS!EH22+RESULTADOS!EY22+RESULTADOS!FP22+RESULTADOS!GG22+RESULTADOS!GX22+RESULTADOS!HW22+RESULTADOS!IV22+RESULTADOS!JU22+RESULTADOS!KT22+RESULTADOS!KY22+RESULTADOS!LL22+RESULTADOS!LY22+RESULTADOS!ML22+RESULTADOS!MY22+RESULTADOS!NL22+RESULTADOS!NU22+RESULTADOS!OD22+RESULTADOS!OM22+RESULTADOS!OV22+RESULTADOS!PA22+RESULTADOS!PF22+RESULTADOS!PO22+RESULTADOS!PT22+RESULTADOS!PY22+RESULTADOS!QD22+RESULTADOS!QI22</f>
        <v>75</v>
      </c>
      <c r="J22" s="17">
        <v>19</v>
      </c>
      <c r="K22" s="5" t="str">
        <v>Michael Letrado</v>
      </c>
      <c r="L22" s="2">
        <v>79</v>
      </c>
    </row>
    <row r="23" spans="4:12" ht="14.25" customHeight="1" x14ac:dyDescent="0.3">
      <c r="D23" s="17">
        <v>20</v>
      </c>
      <c r="E23" s="5" t="s">
        <v>22</v>
      </c>
      <c r="F23" s="2">
        <f>RESULTADOS!J23+RESULTADOS!S23+RESULTADOS!AJ23+RESULTADOS!BA23+RESULTADOS!BR23+RESULTADOS!CI23+RESULTADOS!CZ23+RESULTADOS!DQ23+RESULTADOS!EH23+RESULTADOS!EY23+RESULTADOS!FP23+RESULTADOS!GG23+RESULTADOS!GX23+RESULTADOS!HW23+RESULTADOS!IV23+RESULTADOS!JU23+RESULTADOS!KT23+RESULTADOS!KY23+RESULTADOS!LL23+RESULTADOS!LY23+RESULTADOS!ML23+RESULTADOS!MY23+RESULTADOS!NL23+RESULTADOS!NU23+RESULTADOS!OD23+RESULTADOS!OM23+RESULTADOS!OV23+RESULTADOS!PA23+RESULTADOS!PF23+RESULTADOS!PO23+RESULTADOS!PT23+RESULTADOS!PY23+RESULTADOS!QD23+RESULTADOS!QI23</f>
        <v>78</v>
      </c>
      <c r="J23" s="17">
        <v>20</v>
      </c>
      <c r="K23" s="5" t="str">
        <v>Julian Rodriguez</v>
      </c>
      <c r="L23" s="2">
        <v>79</v>
      </c>
    </row>
    <row r="24" spans="4:12" ht="14.25" customHeight="1" x14ac:dyDescent="0.3">
      <c r="D24" s="17">
        <v>21</v>
      </c>
      <c r="E24" s="5" t="s">
        <v>23</v>
      </c>
      <c r="F24" s="2">
        <f>RESULTADOS!J24+RESULTADOS!S24+RESULTADOS!AJ24+RESULTADOS!BA24+RESULTADOS!BR24+RESULTADOS!CI24+RESULTADOS!CZ24+RESULTADOS!DQ24+RESULTADOS!EH24+RESULTADOS!EY24+RESULTADOS!FP24+RESULTADOS!GG24+RESULTADOS!GX24+RESULTADOS!HW24+RESULTADOS!IV24+RESULTADOS!JU24+RESULTADOS!KT24+RESULTADOS!KY24+RESULTADOS!LL24+RESULTADOS!LY24+RESULTADOS!ML24+RESULTADOS!MY24+RESULTADOS!NL24+RESULTADOS!NU24+RESULTADOS!OD24+RESULTADOS!OM24+RESULTADOS!OV24+RESULTADOS!PA24+RESULTADOS!PF24+RESULTADOS!PO24+RESULTADOS!PT24+RESULTADOS!PY24+RESULTADOS!QD24+RESULTADOS!QI24</f>
        <v>92</v>
      </c>
      <c r="J24" s="17">
        <v>21</v>
      </c>
      <c r="K24" s="5" t="str">
        <v>Diego Marin</v>
      </c>
      <c r="L24" s="2">
        <v>79</v>
      </c>
    </row>
    <row r="25" spans="4:12" ht="14.25" customHeight="1" x14ac:dyDescent="0.3">
      <c r="D25" s="17">
        <v>22</v>
      </c>
      <c r="E25" s="5" t="s">
        <v>24</v>
      </c>
      <c r="F25" s="2">
        <f>RESULTADOS!J25+RESULTADOS!S25+RESULTADOS!AJ25+RESULTADOS!BA25+RESULTADOS!BR25+RESULTADOS!CI25+RESULTADOS!CZ25+RESULTADOS!DQ25+RESULTADOS!EH25+RESULTADOS!EY25+RESULTADOS!FP25+RESULTADOS!GG25+RESULTADOS!GX25+RESULTADOS!HW25+RESULTADOS!IV25+RESULTADOS!JU25+RESULTADOS!KT25+RESULTADOS!KY25+RESULTADOS!LL25+RESULTADOS!LY25+RESULTADOS!ML25+RESULTADOS!MY25+RESULTADOS!NL25+RESULTADOS!NU25+RESULTADOS!OD25+RESULTADOS!OM25+RESULTADOS!OV25+RESULTADOS!PA25+RESULTADOS!PF25+RESULTADOS!PO25+RESULTADOS!PT25+RESULTADOS!PY25+RESULTADOS!QD25+RESULTADOS!QI25</f>
        <v>85</v>
      </c>
      <c r="J25" s="17">
        <v>22</v>
      </c>
      <c r="K25" s="5" t="str">
        <v>Sergio Echeverria</v>
      </c>
      <c r="L25" s="2">
        <v>78</v>
      </c>
    </row>
    <row r="26" spans="4:12" ht="14.25" customHeight="1" x14ac:dyDescent="0.3">
      <c r="D26" s="17">
        <v>23</v>
      </c>
      <c r="E26" s="5" t="s">
        <v>25</v>
      </c>
      <c r="F26" s="2">
        <f>RESULTADOS!J26+RESULTADOS!S26+RESULTADOS!AJ26+RESULTADOS!BA26+RESULTADOS!BR26+RESULTADOS!CI26+RESULTADOS!CZ26+RESULTADOS!DQ26+RESULTADOS!EH26+RESULTADOS!EY26+RESULTADOS!FP26+RESULTADOS!GG26+RESULTADOS!GX26+RESULTADOS!HW26+RESULTADOS!IV26+RESULTADOS!JU26+RESULTADOS!KT26+RESULTADOS!KY26+RESULTADOS!LL26+RESULTADOS!LY26+RESULTADOS!ML26+RESULTADOS!MY26+RESULTADOS!NL26+RESULTADOS!NU26+RESULTADOS!OD26+RESULTADOS!OM26+RESULTADOS!OV26+RESULTADOS!PA26+RESULTADOS!PF26+RESULTADOS!PO26+RESULTADOS!PT26+RESULTADOS!PY26+RESULTADOS!QD26+RESULTADOS!QI26</f>
        <v>76</v>
      </c>
      <c r="J26" s="17">
        <v>23</v>
      </c>
      <c r="K26" s="5" t="str">
        <v>Samuel Ramirez</v>
      </c>
      <c r="L26" s="2">
        <v>78</v>
      </c>
    </row>
    <row r="27" spans="4:12" ht="14.25" customHeight="1" x14ac:dyDescent="0.3">
      <c r="D27" s="17">
        <v>24</v>
      </c>
      <c r="E27" s="5" t="s">
        <v>26</v>
      </c>
      <c r="F27" s="2">
        <f>RESULTADOS!J27+RESULTADOS!S27+RESULTADOS!AJ27+RESULTADOS!BA27+RESULTADOS!BR27+RESULTADOS!CI27+RESULTADOS!CZ27+RESULTADOS!DQ27+RESULTADOS!EH27+RESULTADOS!EY27+RESULTADOS!FP27+RESULTADOS!GG27+RESULTADOS!GX27+RESULTADOS!HW27+RESULTADOS!IV27+RESULTADOS!JU27+RESULTADOS!KT27+RESULTADOS!KY27+RESULTADOS!LL27+RESULTADOS!LY27+RESULTADOS!ML27+RESULTADOS!MY27+RESULTADOS!NL27+RESULTADOS!NU27+RESULTADOS!OD27+RESULTADOS!OM27+RESULTADOS!OV27+RESULTADOS!PA27+RESULTADOS!PF27+RESULTADOS!PO27+RESULTADOS!PT27+RESULTADOS!PY27+RESULTADOS!QD27+RESULTADOS!QI27</f>
        <v>87</v>
      </c>
      <c r="J27" s="17">
        <v>24</v>
      </c>
      <c r="K27" s="5" t="str">
        <v>Fredy Hernandez</v>
      </c>
      <c r="L27" s="2">
        <v>78</v>
      </c>
    </row>
    <row r="28" spans="4:12" ht="14.25" customHeight="1" x14ac:dyDescent="0.3">
      <c r="D28" s="17">
        <v>25</v>
      </c>
      <c r="E28" s="5" t="s">
        <v>27</v>
      </c>
      <c r="F28" s="2">
        <f>RESULTADOS!J28+RESULTADOS!S28+RESULTADOS!AJ28+RESULTADOS!BA28+RESULTADOS!BR28+RESULTADOS!CI28+RESULTADOS!CZ28+RESULTADOS!DQ28+RESULTADOS!EH28+RESULTADOS!EY28+RESULTADOS!FP28+RESULTADOS!GG28+RESULTADOS!GX28+RESULTADOS!HW28+RESULTADOS!IV28+RESULTADOS!JU28+RESULTADOS!KT28+RESULTADOS!KY28+RESULTADOS!LL28+RESULTADOS!LY28+RESULTADOS!ML28+RESULTADOS!MY28+RESULTADOS!NL28+RESULTADOS!NU28+RESULTADOS!OD28+RESULTADOS!OM28+RESULTADOS!OV28+RESULTADOS!PA28+RESULTADOS!PF28+RESULTADOS!PO28+RESULTADOS!PT28+RESULTADOS!PY28+RESULTADOS!QD28+RESULTADOS!QI28</f>
        <v>83</v>
      </c>
      <c r="J28" s="17">
        <v>25</v>
      </c>
      <c r="K28" s="5" t="str">
        <v>Orlando Narvaez</v>
      </c>
      <c r="L28" s="2">
        <v>76.5</v>
      </c>
    </row>
    <row r="29" spans="4:12" ht="14.25" customHeight="1" x14ac:dyDescent="0.3">
      <c r="D29" s="17">
        <v>26</v>
      </c>
      <c r="E29" s="5" t="s">
        <v>28</v>
      </c>
      <c r="F29" s="2">
        <f>RESULTADOS!J29+RESULTADOS!S29+RESULTADOS!AJ29+RESULTADOS!BA29+RESULTADOS!BR29+RESULTADOS!CI29+RESULTADOS!CZ29+RESULTADOS!DQ29+RESULTADOS!EH29+RESULTADOS!EY29+RESULTADOS!FP29+RESULTADOS!GG29+RESULTADOS!GX29+RESULTADOS!HW29+RESULTADOS!IV29+RESULTADOS!JU29+RESULTADOS!KT29+RESULTADOS!KY29+RESULTADOS!LL29+RESULTADOS!LY29+RESULTADOS!ML29+RESULTADOS!MY29+RESULTADOS!NL29+RESULTADOS!NU29+RESULTADOS!OD29+RESULTADOS!OM29+RESULTADOS!OV29+RESULTADOS!PA29+RESULTADOS!PF29+RESULTADOS!PO29+RESULTADOS!PT29+RESULTADOS!PY29+RESULTADOS!QD29+RESULTADOS!QI29</f>
        <v>93</v>
      </c>
      <c r="J29" s="17">
        <v>26</v>
      </c>
      <c r="K29" s="5" t="str">
        <v>Juan Moreno</v>
      </c>
      <c r="L29" s="2">
        <v>76</v>
      </c>
    </row>
    <row r="30" spans="4:12" ht="14.25" customHeight="1" x14ac:dyDescent="0.3">
      <c r="D30" s="17">
        <v>27</v>
      </c>
      <c r="E30" s="5" t="s">
        <v>29</v>
      </c>
      <c r="F30" s="2">
        <f>RESULTADOS!J30+RESULTADOS!S30+RESULTADOS!AJ30+RESULTADOS!BA30+RESULTADOS!BR30+RESULTADOS!CI30+RESULTADOS!CZ30+RESULTADOS!DQ30+RESULTADOS!EH30+RESULTADOS!EY30+RESULTADOS!FP30+RESULTADOS!GG30+RESULTADOS!GX30+RESULTADOS!HW30+RESULTADOS!IV30+RESULTADOS!JU30+RESULTADOS!KT30+RESULTADOS!KY30+RESULTADOS!LL30+RESULTADOS!LY30+RESULTADOS!ML30+RESULTADOS!MY30+RESULTADOS!NL30+RESULTADOS!NU30+RESULTADOS!OD30+RESULTADOS!OM30+RESULTADOS!OV30+RESULTADOS!PA30+RESULTADOS!PF30+RESULTADOS!PO30+RESULTADOS!PT30+RESULTADOS!PY30+RESULTADOS!QD30+RESULTADOS!QI30</f>
        <v>94</v>
      </c>
      <c r="J30" s="17">
        <v>27</v>
      </c>
      <c r="K30" s="5" t="str">
        <v>Deivid Ramirez</v>
      </c>
      <c r="L30" s="2">
        <v>75.5</v>
      </c>
    </row>
    <row r="31" spans="4:12" ht="14.25" customHeight="1" x14ac:dyDescent="0.3">
      <c r="D31" s="17">
        <v>28</v>
      </c>
      <c r="E31" s="5" t="s">
        <v>30</v>
      </c>
      <c r="F31" s="2">
        <f>RESULTADOS!J31+RESULTADOS!S31+RESULTADOS!AJ31+RESULTADOS!BA31+RESULTADOS!BR31+RESULTADOS!CI31+RESULTADOS!CZ31+RESULTADOS!DQ31+RESULTADOS!EH31+RESULTADOS!EY31+RESULTADOS!FP31+RESULTADOS!GG31+RESULTADOS!GX31+RESULTADOS!HW31+RESULTADOS!IV31+RESULTADOS!JU31+RESULTADOS!KT31+RESULTADOS!KY31+RESULTADOS!LL31+RESULTADOS!LY31+RESULTADOS!ML31+RESULTADOS!MY31+RESULTADOS!NL31+RESULTADOS!NU31+RESULTADOS!OD31+RESULTADOS!OM31+RESULTADOS!OV31+RESULTADOS!PA31+RESULTADOS!PF31+RESULTADOS!PO31+RESULTADOS!PT31+RESULTADOS!PY31+RESULTADOS!QD31+RESULTADOS!QI31</f>
        <v>71</v>
      </c>
      <c r="J31" s="17">
        <v>28</v>
      </c>
      <c r="K31" s="5" t="str">
        <v>Andres Castro</v>
      </c>
      <c r="L31" s="2">
        <v>75</v>
      </c>
    </row>
    <row r="32" spans="4:12" ht="14.25" customHeight="1" x14ac:dyDescent="0.3">
      <c r="D32" s="17">
        <v>29</v>
      </c>
      <c r="E32" s="5" t="s">
        <v>31</v>
      </c>
      <c r="F32" s="2">
        <f>RESULTADOS!J32+RESULTADOS!S32+RESULTADOS!AJ32+RESULTADOS!BA32+RESULTADOS!BR32+RESULTADOS!CI32+RESULTADOS!CZ32+RESULTADOS!DQ32+RESULTADOS!EH32+RESULTADOS!EY32+RESULTADOS!FP32+RESULTADOS!GG32+RESULTADOS!GX32+RESULTADOS!HW32+RESULTADOS!IV32+RESULTADOS!JU32+RESULTADOS!KT32+RESULTADOS!KY32+RESULTADOS!LL32+RESULTADOS!LY32+RESULTADOS!ML32+RESULTADOS!MY32+RESULTADOS!NL32+RESULTADOS!NU32+RESULTADOS!OD32+RESULTADOS!OM32+RESULTADOS!OV32+RESULTADOS!PA32+RESULTADOS!PF32+RESULTADOS!PO32+RESULTADOS!PT32+RESULTADOS!PY32+RESULTADOS!QD32+RESULTADOS!QI32</f>
        <v>86</v>
      </c>
      <c r="J32" s="17">
        <v>29</v>
      </c>
      <c r="K32" s="5" t="str">
        <v>Gabriel Letrado</v>
      </c>
      <c r="L32" s="2">
        <v>72</v>
      </c>
    </row>
    <row r="33" spans="4:12" ht="14.25" customHeight="1" x14ac:dyDescent="0.3">
      <c r="D33" s="17">
        <v>30</v>
      </c>
      <c r="E33" s="5" t="s">
        <v>32</v>
      </c>
      <c r="F33" s="2">
        <f>RESULTADOS!J33+RESULTADOS!S33+RESULTADOS!AJ33+RESULTADOS!BA33+RESULTADOS!BR33+RESULTADOS!CI33+RESULTADOS!CZ33+RESULTADOS!DQ33+RESULTADOS!EH33+RESULTADOS!EY33+RESULTADOS!FP33+RESULTADOS!GG33+RESULTADOS!GX33+RESULTADOS!HW33+RESULTADOS!IV33+RESULTADOS!JU33+RESULTADOS!KT33+RESULTADOS!KY33+RESULTADOS!LL33+RESULTADOS!LY33+RESULTADOS!ML33+RESULTADOS!MY33+RESULTADOS!NL33+RESULTADOS!NU33+RESULTADOS!OD33+RESULTADOS!OM33+RESULTADOS!OV33+RESULTADOS!PA33+RESULTADOS!PF33+RESULTADOS!PO33+RESULTADOS!PT33+RESULTADOS!PY33+RESULTADOS!QD33+RESULTADOS!QI33</f>
        <v>87</v>
      </c>
      <c r="J33" s="17">
        <v>30</v>
      </c>
      <c r="K33" s="5" t="str">
        <v>Cesar Letrado</v>
      </c>
      <c r="L33" s="2">
        <v>72</v>
      </c>
    </row>
    <row r="34" spans="4:12" ht="14.25" customHeight="1" x14ac:dyDescent="0.3">
      <c r="D34" s="17">
        <v>31</v>
      </c>
      <c r="E34" s="5" t="s">
        <v>33</v>
      </c>
      <c r="F34" s="2">
        <f>RESULTADOS!J34+RESULTADOS!S34+RESULTADOS!AJ34+RESULTADOS!BA34+RESULTADOS!BR34+RESULTADOS!CI34+RESULTADOS!CZ34+RESULTADOS!DQ34+RESULTADOS!EH34+RESULTADOS!EY34+RESULTADOS!FP34+RESULTADOS!GG34+RESULTADOS!GX34+RESULTADOS!HW34+RESULTADOS!IV34+RESULTADOS!JU34+RESULTADOS!KT34+RESULTADOS!KY34+RESULTADOS!LL34+RESULTADOS!LY34+RESULTADOS!ML34+RESULTADOS!MY34+RESULTADOS!NL34+RESULTADOS!NU34+RESULTADOS!OD34+RESULTADOS!OM34+RESULTADOS!OV34+RESULTADOS!PA34+RESULTADOS!PF34+RESULTADOS!PO34+RESULTADOS!PT34+RESULTADOS!PY34+RESULTADOS!QD34+RESULTADOS!QI34</f>
        <v>75.5</v>
      </c>
      <c r="J34" s="17">
        <v>31</v>
      </c>
      <c r="K34" s="5" t="str">
        <v>Felipe Higuita</v>
      </c>
      <c r="L34" s="2">
        <v>71</v>
      </c>
    </row>
    <row r="35" spans="4:12" ht="14.25" customHeight="1" x14ac:dyDescent="0.3">
      <c r="D35" s="17">
        <v>32</v>
      </c>
      <c r="E35" s="5" t="s">
        <v>34</v>
      </c>
      <c r="F35" s="2">
        <f>RESULTADOS!J35+RESULTADOS!S35+RESULTADOS!AJ35+RESULTADOS!BA35+RESULTADOS!BR35+RESULTADOS!CI35+RESULTADOS!CZ35+RESULTADOS!DQ35+RESULTADOS!EH35+RESULTADOS!EY35+RESULTADOS!FP35+RESULTADOS!GG35+RESULTADOS!GX35+RESULTADOS!HW35+RESULTADOS!IV35+RESULTADOS!JU35+RESULTADOS!KT35+RESULTADOS!KY35+RESULTADOS!LL35+RESULTADOS!LY35+RESULTADOS!ML35+RESULTADOS!MY35+RESULTADOS!NL35+RESULTADOS!NU35+RESULTADOS!OD35+RESULTADOS!OM35+RESULTADOS!OV35+RESULTADOS!PA35+RESULTADOS!PF35+RESULTADOS!PO35+RESULTADOS!PT35+RESULTADOS!PY35+RESULTADOS!QD35+RESULTADOS!QI35</f>
        <v>93</v>
      </c>
      <c r="J35" s="17">
        <v>32</v>
      </c>
      <c r="K35" s="5" t="str">
        <v>Javier Adames</v>
      </c>
      <c r="L35" s="2">
        <v>67.5</v>
      </c>
    </row>
  </sheetData>
  <mergeCells count="2">
    <mergeCell ref="D2:F2"/>
    <mergeCell ref="J2:L2"/>
  </mergeCells>
  <conditionalFormatting sqref="E4:E35">
    <cfRule type="expression" dxfId="2" priority="3">
      <formula>F4="OK"</formula>
    </cfRule>
  </conditionalFormatting>
  <conditionalFormatting sqref="K4:K35">
    <cfRule type="expression" dxfId="1" priority="2">
      <formula>L4="OK"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39C8-6B20-4051-8C7A-F6DF84F203CA}">
  <dimension ref="B1:AL36"/>
  <sheetViews>
    <sheetView topLeftCell="A7" zoomScale="70" zoomScaleNormal="70" workbookViewId="0">
      <selection activeCell="L35" sqref="L35"/>
    </sheetView>
  </sheetViews>
  <sheetFormatPr baseColWidth="10" defaultRowHeight="14.4" x14ac:dyDescent="0.3"/>
  <cols>
    <col min="2" max="2" width="16.44140625" bestFit="1" customWidth="1"/>
  </cols>
  <sheetData>
    <row r="1" spans="2:38" x14ac:dyDescent="0.3">
      <c r="C1" s="20">
        <v>46184</v>
      </c>
      <c r="D1" s="20">
        <v>46185</v>
      </c>
      <c r="E1" s="20">
        <v>46186</v>
      </c>
      <c r="F1" s="20">
        <v>46187</v>
      </c>
      <c r="G1" s="20">
        <v>46188</v>
      </c>
      <c r="H1" s="20">
        <v>46189</v>
      </c>
      <c r="I1" s="20">
        <v>46190</v>
      </c>
      <c r="J1" s="20">
        <v>46191</v>
      </c>
      <c r="K1" s="20">
        <v>46192</v>
      </c>
      <c r="L1" s="20">
        <v>46193</v>
      </c>
      <c r="M1" s="20">
        <v>46194</v>
      </c>
      <c r="N1" s="20">
        <v>46195</v>
      </c>
      <c r="O1" s="20">
        <v>46196</v>
      </c>
      <c r="P1" s="20">
        <v>46197</v>
      </c>
      <c r="Q1" s="20">
        <v>46198</v>
      </c>
      <c r="R1" s="20">
        <v>46199</v>
      </c>
      <c r="S1" s="20">
        <v>46200</v>
      </c>
      <c r="T1" s="20">
        <v>46201</v>
      </c>
      <c r="U1" s="20">
        <v>46202</v>
      </c>
      <c r="V1" s="20">
        <v>46203</v>
      </c>
      <c r="W1" s="20">
        <v>46204</v>
      </c>
      <c r="X1" s="20">
        <v>46205</v>
      </c>
      <c r="Y1" s="20">
        <v>46206</v>
      </c>
      <c r="Z1" s="20">
        <v>46207</v>
      </c>
      <c r="AA1" s="20">
        <v>46208</v>
      </c>
      <c r="AB1" s="20">
        <v>46209</v>
      </c>
      <c r="AC1" s="20">
        <v>46210</v>
      </c>
      <c r="AD1" s="20">
        <v>46211</v>
      </c>
      <c r="AE1" s="20">
        <v>46212</v>
      </c>
      <c r="AF1" s="20">
        <v>46213</v>
      </c>
      <c r="AG1" s="20">
        <v>46214</v>
      </c>
      <c r="AH1" s="20">
        <v>46215</v>
      </c>
      <c r="AI1" s="20">
        <v>46216</v>
      </c>
      <c r="AJ1" s="20">
        <v>46217</v>
      </c>
      <c r="AK1" s="20">
        <v>46218</v>
      </c>
      <c r="AL1" s="20">
        <v>46219</v>
      </c>
    </row>
    <row r="2" spans="2:38" x14ac:dyDescent="0.3">
      <c r="B2" s="35" t="s">
        <v>0</v>
      </c>
      <c r="C2" s="39" t="s">
        <v>143</v>
      </c>
      <c r="D2" s="39" t="s">
        <v>144</v>
      </c>
      <c r="E2" s="39" t="s">
        <v>145</v>
      </c>
      <c r="F2" s="39" t="s">
        <v>146</v>
      </c>
      <c r="G2" s="38" t="s">
        <v>147</v>
      </c>
      <c r="H2" s="39" t="s">
        <v>148</v>
      </c>
      <c r="I2" s="39" t="s">
        <v>149</v>
      </c>
      <c r="J2" s="38" t="s">
        <v>150</v>
      </c>
      <c r="K2" s="38" t="s">
        <v>151</v>
      </c>
      <c r="L2" s="38" t="s">
        <v>152</v>
      </c>
      <c r="M2" s="38" t="s">
        <v>153</v>
      </c>
      <c r="N2" s="39" t="s">
        <v>154</v>
      </c>
      <c r="O2" s="39" t="s">
        <v>155</v>
      </c>
      <c r="P2" s="39" t="s">
        <v>156</v>
      </c>
      <c r="Q2" s="39" t="s">
        <v>157</v>
      </c>
      <c r="R2" s="39" t="s">
        <v>158</v>
      </c>
      <c r="S2" s="39" t="s">
        <v>159</v>
      </c>
      <c r="T2" s="39" t="s">
        <v>160</v>
      </c>
      <c r="U2" s="39" t="s">
        <v>161</v>
      </c>
      <c r="V2" s="39" t="s">
        <v>162</v>
      </c>
      <c r="W2" s="39" t="s">
        <v>163</v>
      </c>
      <c r="X2" s="39" t="s">
        <v>164</v>
      </c>
      <c r="Y2" s="39" t="s">
        <v>165</v>
      </c>
      <c r="Z2" s="39" t="s">
        <v>166</v>
      </c>
      <c r="AA2" s="39" t="s">
        <v>167</v>
      </c>
      <c r="AB2" s="39" t="s">
        <v>168</v>
      </c>
      <c r="AC2" s="39" t="s">
        <v>169</v>
      </c>
      <c r="AD2" s="39" t="s">
        <v>170</v>
      </c>
      <c r="AE2" s="39" t="s">
        <v>171</v>
      </c>
      <c r="AF2" s="39" t="s">
        <v>172</v>
      </c>
      <c r="AG2" s="39" t="s">
        <v>173</v>
      </c>
      <c r="AH2" s="39" t="s">
        <v>174</v>
      </c>
      <c r="AI2" s="39" t="s">
        <v>175</v>
      </c>
      <c r="AJ2" s="39" t="s">
        <v>176</v>
      </c>
      <c r="AK2" s="39" t="s">
        <v>177</v>
      </c>
      <c r="AL2" s="39" t="s">
        <v>178</v>
      </c>
    </row>
    <row r="3" spans="2:38" x14ac:dyDescent="0.3">
      <c r="B3" s="27"/>
      <c r="C3" s="39"/>
      <c r="D3" s="39"/>
      <c r="E3" s="39"/>
      <c r="F3" s="39"/>
      <c r="G3" s="38"/>
      <c r="H3" s="39"/>
      <c r="I3" s="39"/>
      <c r="J3" s="38"/>
      <c r="K3" s="38"/>
      <c r="L3" s="38"/>
      <c r="M3" s="38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</row>
    <row r="4" spans="2:38" x14ac:dyDescent="0.3">
      <c r="B4" s="28"/>
      <c r="C4" s="39"/>
      <c r="D4" s="39"/>
      <c r="E4" s="39"/>
      <c r="F4" s="39"/>
      <c r="G4" s="38"/>
      <c r="H4" s="39"/>
      <c r="I4" s="39"/>
      <c r="J4" s="38"/>
      <c r="K4" s="38"/>
      <c r="L4" s="38"/>
      <c r="M4" s="38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spans="2:38" x14ac:dyDescent="0.3">
      <c r="B5" s="5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2:38" x14ac:dyDescent="0.3">
      <c r="B6" s="5" t="s">
        <v>4</v>
      </c>
      <c r="C6" s="2"/>
      <c r="D6" s="2"/>
      <c r="E6" s="2"/>
      <c r="F6" s="2"/>
      <c r="G6" s="2"/>
      <c r="H6" s="2"/>
      <c r="I6" s="2"/>
      <c r="J6" s="2"/>
      <c r="K6" s="2"/>
      <c r="L6" s="2">
        <v>0.5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2:38" x14ac:dyDescent="0.3">
      <c r="B7" s="5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2:38" x14ac:dyDescent="0.3">
      <c r="B8" s="5" t="s">
        <v>6</v>
      </c>
      <c r="C8" s="2"/>
      <c r="D8" s="2"/>
      <c r="E8" s="2"/>
      <c r="F8" s="2"/>
      <c r="G8" s="2"/>
      <c r="H8" s="2"/>
      <c r="I8" s="2"/>
      <c r="J8" s="2"/>
      <c r="K8" s="2">
        <v>0.5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2:38" x14ac:dyDescent="0.3">
      <c r="B9" s="5" t="s">
        <v>119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2:38" x14ac:dyDescent="0.3">
      <c r="B10" s="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2:38" x14ac:dyDescent="0.3">
      <c r="B11" s="5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0.5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2:38" x14ac:dyDescent="0.3">
      <c r="B12" s="5" t="s">
        <v>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2:38" x14ac:dyDescent="0.3">
      <c r="B13" s="5" t="s">
        <v>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2:38" x14ac:dyDescent="0.3">
      <c r="B14" s="5" t="s">
        <v>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2:38" x14ac:dyDescent="0.3">
      <c r="B15" s="5" t="s">
        <v>13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2:38" x14ac:dyDescent="0.3">
      <c r="B16" s="5" t="s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2:38" x14ac:dyDescent="0.3">
      <c r="B17" s="5" t="s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2:38" x14ac:dyDescent="0.3">
      <c r="B18" s="5" t="s">
        <v>16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2:38" x14ac:dyDescent="0.3">
      <c r="B19" s="5" t="s">
        <v>17</v>
      </c>
      <c r="C19" s="2"/>
      <c r="D19" s="2"/>
      <c r="E19" s="2"/>
      <c r="F19" s="2"/>
      <c r="G19" s="2">
        <v>0.5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2:38" x14ac:dyDescent="0.3">
      <c r="B20" s="5" t="s">
        <v>18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>
        <v>0.5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2:38" x14ac:dyDescent="0.3">
      <c r="B21" s="5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2:38" x14ac:dyDescent="0.3">
      <c r="B22" s="5" t="s">
        <v>20</v>
      </c>
      <c r="C22" s="2"/>
      <c r="D22" s="2"/>
      <c r="E22" s="2"/>
      <c r="F22" s="2"/>
      <c r="G22" s="2"/>
      <c r="H22" s="2"/>
      <c r="I22" s="2"/>
      <c r="J22" s="2">
        <v>0.5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2:38" x14ac:dyDescent="0.3">
      <c r="B23" s="5" t="s">
        <v>21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2:38" x14ac:dyDescent="0.3">
      <c r="B24" s="5" t="s">
        <v>22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v>0.5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2:38" x14ac:dyDescent="0.3">
      <c r="B25" s="5" t="s">
        <v>23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2:38" x14ac:dyDescent="0.3">
      <c r="B26" s="5" t="s">
        <v>24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2:38" x14ac:dyDescent="0.3">
      <c r="B27" s="5" t="s">
        <v>25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2:38" x14ac:dyDescent="0.3">
      <c r="B28" s="5" t="s">
        <v>26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2:38" x14ac:dyDescent="0.3">
      <c r="B29" s="5" t="s">
        <v>27</v>
      </c>
      <c r="C29" s="2"/>
      <c r="D29" s="2"/>
      <c r="E29" s="2"/>
      <c r="F29" s="2"/>
      <c r="G29" s="2"/>
      <c r="H29" s="2"/>
      <c r="I29" s="2"/>
      <c r="J29" s="2">
        <v>0.5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2:38" x14ac:dyDescent="0.3">
      <c r="B30" s="5" t="s">
        <v>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2:38" x14ac:dyDescent="0.3">
      <c r="B31" s="5" t="s">
        <v>29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2:38" x14ac:dyDescent="0.3">
      <c r="B32" s="5" t="s">
        <v>30</v>
      </c>
      <c r="C32" s="2"/>
      <c r="D32" s="2"/>
      <c r="E32" s="2"/>
      <c r="F32" s="2"/>
      <c r="G32" s="2"/>
      <c r="H32" s="2"/>
      <c r="I32" s="2"/>
      <c r="J32" s="2">
        <v>0.5</v>
      </c>
      <c r="K32" s="2">
        <v>0.5</v>
      </c>
      <c r="L32" s="2"/>
      <c r="M32" s="2">
        <v>0.5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2:38" x14ac:dyDescent="0.3">
      <c r="B33" s="5" t="s">
        <v>31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2:38" x14ac:dyDescent="0.3">
      <c r="B34" s="5" t="s">
        <v>32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2:38" x14ac:dyDescent="0.3">
      <c r="B35" s="5" t="s">
        <v>74</v>
      </c>
      <c r="C35" s="2"/>
      <c r="D35" s="2"/>
      <c r="E35" s="2"/>
      <c r="F35" s="2"/>
      <c r="G35" s="2"/>
      <c r="H35" s="2"/>
      <c r="I35" s="2"/>
      <c r="J35" s="2"/>
      <c r="K35" s="2"/>
      <c r="L35" s="40">
        <v>0.5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2:38" x14ac:dyDescent="0.3">
      <c r="B36" s="5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</sheetData>
  <mergeCells count="37">
    <mergeCell ref="AL2:AL4"/>
    <mergeCell ref="AF2:AF4"/>
    <mergeCell ref="AG2:AG4"/>
    <mergeCell ref="AH2:AH4"/>
    <mergeCell ref="AI2:AI4"/>
    <mergeCell ref="AJ2:AJ4"/>
    <mergeCell ref="AK2:AK4"/>
    <mergeCell ref="AE2:AE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S2:S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G2:G4"/>
    <mergeCell ref="B2:B4"/>
    <mergeCell ref="C2:C4"/>
    <mergeCell ref="D2:D4"/>
    <mergeCell ref="E2:E4"/>
    <mergeCell ref="F2:F4"/>
  </mergeCells>
  <conditionalFormatting sqref="B5:B36">
    <cfRule type="expression" dxfId="0" priority="1">
      <formula>C5="OK"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Participantes y pagos</vt:lpstr>
      <vt:lpstr>Pronosticos Iniciales</vt:lpstr>
      <vt:lpstr>RESULTADOS</vt:lpstr>
      <vt:lpstr>POSICIONES ORDENADAS</vt:lpstr>
      <vt:lpstr>SANCIONES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Letrado</dc:creator>
  <cp:lastModifiedBy>Michael Letrado</cp:lastModifiedBy>
  <cp:revision>0</cp:revision>
  <dcterms:created xsi:type="dcterms:W3CDTF">2024-05-17T02:10:56Z</dcterms:created>
  <dcterms:modified xsi:type="dcterms:W3CDTF">2026-06-21T12:39:54Z</dcterms:modified>
  <dc:language>en-US</dc:language>
</cp:coreProperties>
</file>